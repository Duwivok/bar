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Титул" sheetId="1" r:id="rId1"/>
    <sheet name="01_Номенклатура" sheetId="2" r:id="rId2"/>
    <sheet name="02_Выходы_рецептов" sheetId="3" r:id="rId3"/>
    <sheet name="03_Рецепты" sheetId="4" r:id="rId4"/>
    <sheet name="04_Выбор_меню" sheetId="5" r:id="rId5"/>
    <sheet name="05_Расход_меню" sheetId="6" r:id="rId6"/>
    <sheet name="06_Нужно_заготовок" sheetId="7" r:id="rId7"/>
    <sheet name="07_Расход_заготовок" sheetId="8" r:id="rId8"/>
    <sheet name="08_Итог_сырья" sheetId="9" r:id="rId9"/>
    <sheet name="09_Список_покупок" sheetId="10" r:id="rId10"/>
    <sheet name="10_Требует_уточнения" sheetId="11" r:id="rId11"/>
    <sheet name="README" sheetId="12" r:id="rId12"/>
  </sheets>
  <calcPr calcId="124519" fullCalcOnLoad="1"/>
</workbook>
</file>

<file path=xl/sharedStrings.xml><?xml version="1.0" encoding="utf-8"?>
<sst xmlns="http://schemas.openxmlformats.org/spreadsheetml/2006/main" count="2448" uniqueCount="323">
  <si>
    <t>Барный калькулятор — заполнен твоими рецептами</t>
  </si>
  <si>
    <t>Вводные параметры</t>
  </si>
  <si>
    <t>Плановый бюджет, ₽</t>
  </si>
  <si>
    <t>Плановое кол-во гостей</t>
  </si>
  <si>
    <t>Коктейлей на гостя</t>
  </si>
  <si>
    <t>Шотов на гостя</t>
  </si>
  <si>
    <t>Настоек на гостя</t>
  </si>
  <si>
    <t>Запас на потери / проливы</t>
  </si>
  <si>
    <t>Как пользоваться</t>
  </si>
  <si>
    <t>1) На 04_Выбор_меню поставь “Да” нужным позициям и при необходимости задай ручное количество.</t>
  </si>
  <si>
    <t>2) На 02_Выходы_рецептов обязательно заполни выходы премиксов/заготовок/настоек.</t>
  </si>
  <si>
    <t>3) На 01_Номенклатура заполни размер упаковки, цену и спорные единицы.</t>
  </si>
  <si>
    <t>4) 09_Список_покупок посчитает закупку и сумму.</t>
  </si>
  <si>
    <t>Номенклатура</t>
  </si>
  <si>
    <t>Тип</t>
  </si>
  <si>
    <t>Базовая ед.</t>
  </si>
  <si>
    <t>Закупочная ед.</t>
  </si>
  <si>
    <t>Размер упаковки</t>
  </si>
  <si>
    <t>Цена упаковки</t>
  </si>
  <si>
    <t>Коэф. рецепт→база</t>
  </si>
  <si>
    <t>Комментарий</t>
  </si>
  <si>
    <t>Игристое</t>
  </si>
  <si>
    <t>Сырьё</t>
  </si>
  <si>
    <t>мл</t>
  </si>
  <si>
    <t>бутылка</t>
  </si>
  <si>
    <t>Аперитивы</t>
  </si>
  <si>
    <t>Содовая</t>
  </si>
  <si>
    <t>л/бутылка</t>
  </si>
  <si>
    <t>Сироп мохито</t>
  </si>
  <si>
    <t>Ром</t>
  </si>
  <si>
    <t>Сок лимона</t>
  </si>
  <si>
    <t>Мята</t>
  </si>
  <si>
    <t>шт/веточка</t>
  </si>
  <si>
    <t>упаковка</t>
  </si>
  <si>
    <t>нужно задать пересчёт в г или шт/упаковку</t>
  </si>
  <si>
    <t>Джин</t>
  </si>
  <si>
    <t>Клубничный сироп</t>
  </si>
  <si>
    <t>Заготовка</t>
  </si>
  <si>
    <t>Пюре маракуйи</t>
  </si>
  <si>
    <t>Красный базилик</t>
  </si>
  <si>
    <t>Арбузный лимонад</t>
  </si>
  <si>
    <t>Шисо кордиал</t>
  </si>
  <si>
    <t>Грушевая водка</t>
  </si>
  <si>
    <t>Сухой вермут</t>
  </si>
  <si>
    <t>Укроп</t>
  </si>
  <si>
    <t>Сахарный сироп</t>
  </si>
  <si>
    <t>Базилик</t>
  </si>
  <si>
    <t>Пюре из персиков</t>
  </si>
  <si>
    <t>Трипл сек</t>
  </si>
  <si>
    <t>Мармелад</t>
  </si>
  <si>
    <t>Пребэч</t>
  </si>
  <si>
    <t>Клюквенный морс</t>
  </si>
  <si>
    <t>Джин эстрагоновый</t>
  </si>
  <si>
    <t>Бабл гам</t>
  </si>
  <si>
    <t>Сладкий вермут</t>
  </si>
  <si>
    <t>Маринованный виноград</t>
  </si>
  <si>
    <t>Амаретто</t>
  </si>
  <si>
    <t>Щавелевый кордиал</t>
  </si>
  <si>
    <t>Водка</t>
  </si>
  <si>
    <t>Ванильная водка</t>
  </si>
  <si>
    <t>Клубничный джин</t>
  </si>
  <si>
    <t>Сок лайма</t>
  </si>
  <si>
    <t>Медовый сироп</t>
  </si>
  <si>
    <t>Каркаде</t>
  </si>
  <si>
    <t>г</t>
  </si>
  <si>
    <t>упаковка/кг</t>
  </si>
  <si>
    <t>Вода</t>
  </si>
  <si>
    <t>Клубника</t>
  </si>
  <si>
    <t>Сахар</t>
  </si>
  <si>
    <t>Киви</t>
  </si>
  <si>
    <t>Улун</t>
  </si>
  <si>
    <t>Малина</t>
  </si>
  <si>
    <t>Корица</t>
  </si>
  <si>
    <t>Раствор яблочной к-ты</t>
  </si>
  <si>
    <t>Молочный улун</t>
  </si>
  <si>
    <t>Дынный аром-р</t>
  </si>
  <si>
    <t>Соль</t>
  </si>
  <si>
    <t>Аскорбиновая к-та</t>
  </si>
  <si>
    <t>Мёд</t>
  </si>
  <si>
    <t>Маракуйя</t>
  </si>
  <si>
    <t>Шисо листья</t>
  </si>
  <si>
    <t>Красные апельсины</t>
  </si>
  <si>
    <t>Лемонграсс</t>
  </si>
  <si>
    <t>Севен Ап</t>
  </si>
  <si>
    <t>Лимонная к-та</t>
  </si>
  <si>
    <t>Пилы лайма</t>
  </si>
  <si>
    <t>шт</t>
  </si>
  <si>
    <t>Пилы апельсина</t>
  </si>
  <si>
    <t>Пилы грейпфрута</t>
  </si>
  <si>
    <t>Клюквенный ликёр</t>
  </si>
  <si>
    <t>Щавель</t>
  </si>
  <si>
    <t>Молочная к-та</t>
  </si>
  <si>
    <t>Яблочная к-та</t>
  </si>
  <si>
    <t>Ваниль</t>
  </si>
  <si>
    <t>Гвоздика</t>
  </si>
  <si>
    <t>Розовый перец</t>
  </si>
  <si>
    <t>Кизиловый концентрат</t>
  </si>
  <si>
    <t>Банановое олео</t>
  </si>
  <si>
    <t>Нектарины</t>
  </si>
  <si>
    <t>Раствор молочной к-ты</t>
  </si>
  <si>
    <t>Апельсиновая вода</t>
  </si>
  <si>
    <t>Черёмуховая вода</t>
  </si>
  <si>
    <t>Ром/водка</t>
  </si>
  <si>
    <t>Содовая 1</t>
  </si>
  <si>
    <t>рецепт-заготовка</t>
  </si>
  <si>
    <t>Рецепт</t>
  </si>
  <si>
    <t>Тип рецепта</t>
  </si>
  <si>
    <t>Выход рецепта</t>
  </si>
  <si>
    <t>Ед. выхода</t>
  </si>
  <si>
    <t>Сприцы</t>
  </si>
  <si>
    <t>Коктейль</t>
  </si>
  <si>
    <t>порция</t>
  </si>
  <si>
    <t>из старого файла; рецепт на 1 порцию</t>
  </si>
  <si>
    <t>Мохито</t>
  </si>
  <si>
    <t>Клубничная ночь</t>
  </si>
  <si>
    <t>Арбуз и маракуйя</t>
  </si>
  <si>
    <t>Арбуз и укроп</t>
  </si>
  <si>
    <t>Бэзил смэш</t>
  </si>
  <si>
    <t>Беллини</t>
  </si>
  <si>
    <t>Брекфаст мартини</t>
  </si>
  <si>
    <t>COSMOPOLITAN</t>
  </si>
  <si>
    <t>Баблгам 4</t>
  </si>
  <si>
    <t>Баблгам 5</t>
  </si>
  <si>
    <t>Баблгам 1</t>
  </si>
  <si>
    <t>Шот 1</t>
  </si>
  <si>
    <t>Шот</t>
  </si>
  <si>
    <t>Форест гамп</t>
  </si>
  <si>
    <t>Шот 3</t>
  </si>
  <si>
    <t>Шот 4</t>
  </si>
  <si>
    <t>ШОТ 5</t>
  </si>
  <si>
    <t>Настойка клубника каркаде</t>
  </si>
  <si>
    <t>Настойка</t>
  </si>
  <si>
    <t>указать выход одной партии / общий объём настойки</t>
  </si>
  <si>
    <t>Настойка киви-мята</t>
  </si>
  <si>
    <t>Настойка улун-малина</t>
  </si>
  <si>
    <t>Настойка клубника корица</t>
  </si>
  <si>
    <t>указать фактический выход заготовки; без этого сырьё заготовки не раскроется</t>
  </si>
  <si>
    <t>ID</t>
  </si>
  <si>
    <t>Ингредиент</t>
  </si>
  <si>
    <t>Тип ингредиента</t>
  </si>
  <si>
    <t>Кол-во</t>
  </si>
  <si>
    <t>Ед.</t>
  </si>
  <si>
    <t>Старый тип</t>
  </si>
  <si>
    <t>Источник</t>
  </si>
  <si>
    <t>алко</t>
  </si>
  <si>
    <t>Лист4!строка 5</t>
  </si>
  <si>
    <t>Лист4!строка 6</t>
  </si>
  <si>
    <t>топом</t>
  </si>
  <si>
    <t>Лист4!строка 7</t>
  </si>
  <si>
    <t>покупное</t>
  </si>
  <si>
    <t>Лист4!строка 8</t>
  </si>
  <si>
    <t>Лист4!строка 9</t>
  </si>
  <si>
    <t>Лимон</t>
  </si>
  <si>
    <t>Лист4!строка 10</t>
  </si>
  <si>
    <t>Лист4!строка 11</t>
  </si>
  <si>
    <t>Лист4!строка 12</t>
  </si>
  <si>
    <t>Лист4!строка 13</t>
  </si>
  <si>
    <t>Лист4!строка 14</t>
  </si>
  <si>
    <t>Лист4!строка 15</t>
  </si>
  <si>
    <t>пребэч</t>
  </si>
  <si>
    <t>Лист4!строка 16</t>
  </si>
  <si>
    <t>Лист4!строка 17</t>
  </si>
  <si>
    <t>Лист4!строка 18</t>
  </si>
  <si>
    <t>Лист4!строка 19</t>
  </si>
  <si>
    <t>Лист4!строка 20</t>
  </si>
  <si>
    <t>Лист4!строка 21</t>
  </si>
  <si>
    <t>Лист4!строка 22</t>
  </si>
  <si>
    <t>Лист4!строка 23</t>
  </si>
  <si>
    <t>Лист4!строка 24</t>
  </si>
  <si>
    <t>Лист4!строка 25</t>
  </si>
  <si>
    <t>Лист4!строка 26</t>
  </si>
  <si>
    <t>Лист4!строка 27</t>
  </si>
  <si>
    <t>Лист4!строка 28</t>
  </si>
  <si>
    <t>Лист4!строка 29</t>
  </si>
  <si>
    <t>Лист4!строка 30</t>
  </si>
  <si>
    <t>Лист4!строка 31</t>
  </si>
  <si>
    <t>Лист4!строка 32</t>
  </si>
  <si>
    <t>Лист4!строка 33</t>
  </si>
  <si>
    <t>Лист4!строка 34</t>
  </si>
  <si>
    <t>Лист4!строка 35</t>
  </si>
  <si>
    <t>Лист4!строка 36</t>
  </si>
  <si>
    <t>Лист4!строка 37</t>
  </si>
  <si>
    <t>Лист4!строка 38</t>
  </si>
  <si>
    <t>Лист4!строка 39</t>
  </si>
  <si>
    <t>Лист4!строка 40</t>
  </si>
  <si>
    <t>Лист4!строка 41</t>
  </si>
  <si>
    <t>Лист4!строка 42</t>
  </si>
  <si>
    <t>Лист4!строка 43</t>
  </si>
  <si>
    <t>Лист4!строка 44</t>
  </si>
  <si>
    <t>Лист4!строка 45</t>
  </si>
  <si>
    <t>Лист4!строка 46</t>
  </si>
  <si>
    <t>Лист4!строка 47</t>
  </si>
  <si>
    <t>Лист4!строка 48</t>
  </si>
  <si>
    <t>Лист4!строка 49</t>
  </si>
  <si>
    <t>Лист4!строка 50</t>
  </si>
  <si>
    <t>Лист4!строка 51</t>
  </si>
  <si>
    <t>Лист4!строка 52</t>
  </si>
  <si>
    <t>Лист4!строка 53</t>
  </si>
  <si>
    <t>Лист4!строка 57</t>
  </si>
  <si>
    <t>Лист4!строка 58</t>
  </si>
  <si>
    <t>Лист4!строка 59</t>
  </si>
  <si>
    <t>Лист4!строка 60</t>
  </si>
  <si>
    <t>Лист4!строка 61</t>
  </si>
  <si>
    <t>Лист4!строка 62</t>
  </si>
  <si>
    <t>Лист4!строка 63</t>
  </si>
  <si>
    <t>Лист4!строка 64</t>
  </si>
  <si>
    <t>Лист4!строка 65</t>
  </si>
  <si>
    <t>Лист4!строка 66</t>
  </si>
  <si>
    <t>Лист4!строка 67</t>
  </si>
  <si>
    <t>Лист4!строка 68</t>
  </si>
  <si>
    <t>Лист4!строка 69</t>
  </si>
  <si>
    <t>Лист4!строка 70</t>
  </si>
  <si>
    <t>Лист4!строка 71</t>
  </si>
  <si>
    <t>Лист4!строка 72</t>
  </si>
  <si>
    <t>Лист4!строка 73</t>
  </si>
  <si>
    <t>Лист4!строка 74</t>
  </si>
  <si>
    <t>Лист4!строка 75</t>
  </si>
  <si>
    <t>Лист4!строка 76</t>
  </si>
  <si>
    <t>Лист4!строка 80</t>
  </si>
  <si>
    <t>Лист4!строка 81</t>
  </si>
  <si>
    <t>Лист4!строка 82</t>
  </si>
  <si>
    <t>Лист4!строка 83</t>
  </si>
  <si>
    <t>Лист4!строка 84</t>
  </si>
  <si>
    <t>Лист4!строка 85</t>
  </si>
  <si>
    <t>Лист4!строка 86</t>
  </si>
  <si>
    <t>Лист4!строка 87</t>
  </si>
  <si>
    <t>Лист4!строка 88</t>
  </si>
  <si>
    <t>Лист4!строка 89</t>
  </si>
  <si>
    <t>Лист4!строка 90</t>
  </si>
  <si>
    <t>Лист4!строка 91</t>
  </si>
  <si>
    <t>Лист4!строка 92</t>
  </si>
  <si>
    <t>Лист4!строка 93</t>
  </si>
  <si>
    <t>Лист4!строка 94</t>
  </si>
  <si>
    <t>Лист4!строка 95</t>
  </si>
  <si>
    <t>Лист4!строка 96</t>
  </si>
  <si>
    <t>Лист4!строка 97</t>
  </si>
  <si>
    <t>Лист4!строка 98</t>
  </si>
  <si>
    <t>Лист4!строка 99</t>
  </si>
  <si>
    <t>Лист4!строка 104</t>
  </si>
  <si>
    <t>Лист4!строка 105</t>
  </si>
  <si>
    <t>Лист4!строка 106</t>
  </si>
  <si>
    <t>Лист4!строка 107</t>
  </si>
  <si>
    <t>Лист4!строка 108</t>
  </si>
  <si>
    <t>Лист4!строка 109</t>
  </si>
  <si>
    <t>Лист4!строка 110</t>
  </si>
  <si>
    <t>Лист4!строка 111</t>
  </si>
  <si>
    <t>250-400</t>
  </si>
  <si>
    <t>Лист4!строка 112</t>
  </si>
  <si>
    <t>Лист4!строка 113</t>
  </si>
  <si>
    <t>Лист4!строка 114</t>
  </si>
  <si>
    <t>Лист4!строка 115</t>
  </si>
  <si>
    <t>Лист4!строка 116</t>
  </si>
  <si>
    <t>Лист4!строка 117</t>
  </si>
  <si>
    <t>Лист4!строка 118</t>
  </si>
  <si>
    <t>Лист4!строка 119</t>
  </si>
  <si>
    <t>Лист4!строка 120</t>
  </si>
  <si>
    <t>Лист4!строка 121</t>
  </si>
  <si>
    <t>Лист4!строка 122</t>
  </si>
  <si>
    <t>Лист4!строка 123</t>
  </si>
  <si>
    <t>Лист4!строка 124</t>
  </si>
  <si>
    <t>Лист4!строка 125</t>
  </si>
  <si>
    <t>Лист4!строка 126</t>
  </si>
  <si>
    <t>Лист4!строка 127</t>
  </si>
  <si>
    <t>Лист4!строка 128</t>
  </si>
  <si>
    <t>Лист4!строка 129</t>
  </si>
  <si>
    <t>Лист4!строка 130</t>
  </si>
  <si>
    <t>Лист4!строка 131</t>
  </si>
  <si>
    <t>Лист4!строка 132</t>
  </si>
  <si>
    <t>Лист4!строка 133</t>
  </si>
  <si>
    <t>Лист4!строка 134</t>
  </si>
  <si>
    <t>Лист4!строка 135</t>
  </si>
  <si>
    <t>Лист4!строка 136</t>
  </si>
  <si>
    <t>Лист4!строка 137</t>
  </si>
  <si>
    <t>Лист4!строка 138</t>
  </si>
  <si>
    <t>Лист4!строка 139</t>
  </si>
  <si>
    <t>Лист4!строка 140</t>
  </si>
  <si>
    <t>Лист4!строка 141</t>
  </si>
  <si>
    <t>Лист4!строка 142</t>
  </si>
  <si>
    <t>Лист4!строка 143</t>
  </si>
  <si>
    <t>Лист4!строка 144</t>
  </si>
  <si>
    <t>Лист4!строка 145</t>
  </si>
  <si>
    <t>Лист4!строка 146</t>
  </si>
  <si>
    <t>Лист4!строка 147</t>
  </si>
  <si>
    <t>Лист4!строка 148</t>
  </si>
  <si>
    <t>Позиция</t>
  </si>
  <si>
    <t>Включить</t>
  </si>
  <si>
    <t>Ручное кол-во</t>
  </si>
  <si>
    <t>Авто кол-во</t>
  </si>
  <si>
    <t>Итого к выпуску</t>
  </si>
  <si>
    <t>Да</t>
  </si>
  <si>
    <t>Кол-во в рецепте</t>
  </si>
  <si>
    <t>Кол-во выпуск</t>
  </si>
  <si>
    <t>Итого нужно</t>
  </si>
  <si>
    <t>Нужно из меню</t>
  </si>
  <si>
    <t>Коэф. партий</t>
  </si>
  <si>
    <t>Статус</t>
  </si>
  <si>
    <t>Из меню напрямую</t>
  </si>
  <si>
    <t>Из заготовок</t>
  </si>
  <si>
    <t>Купить</t>
  </si>
  <si>
    <t>Нужно</t>
  </si>
  <si>
    <t>Купить упаковок</t>
  </si>
  <si>
    <t>Сумма</t>
  </si>
  <si>
    <t>Итого закупка:</t>
  </si>
  <si>
    <t>Рецепт/позиция</t>
  </si>
  <si>
    <t>Ингредиент/поле</t>
  </si>
  <si>
    <t>Исходное значение</t>
  </si>
  <si>
    <t>Что уточнить</t>
  </si>
  <si>
    <t>требуется единица/конвертация</t>
  </si>
  <si>
    <t>ВЫХОД РЕЦЕПТА</t>
  </si>
  <si>
    <t>Что я перенёс и где донастроить</t>
  </si>
  <si>
    <t>Перенесено</t>
  </si>
  <si>
    <t>21 позиций меню/шотов/настоек, 9 заготовок, 134 строк рецептов.</t>
  </si>
  <si>
    <t>Ключевой лист для правки рецептов</t>
  </si>
  <si>
    <t>03_Рецепты: одна строка = один ингредиент в одном рецепте.</t>
  </si>
  <si>
    <t>Ключевой лист для выбора</t>
  </si>
  <si>
    <t>04_Выбор_меню: выбираешь Да/Нет и ручное количество, если нужно.</t>
  </si>
  <si>
    <t>Критично заполнить</t>
  </si>
  <si>
    <t>02_Выходы_рецептов: выход каждой заготовки/настойки. Без этого не раскрывается сырьё премиксов.</t>
  </si>
  <si>
    <t>01_Номенклатура: размеры упаковок, цены, спорные единицы мяты/веточек/листов.</t>
  </si>
  <si>
    <t>Ограничение</t>
  </si>
  <si>
    <t>Модель раскрывает один уровень: позиция меню → заготовка → сырьё. Вложенные заготовки внутри заготовок показаны, но не раскрываются дальше автоматически.</t>
  </si>
  <si>
    <t>Спорные места</t>
  </si>
  <si>
    <t>10_Требует_уточнения: диапазоны 250-400, топом, листочки/веточки и пустые выходы.</t>
  </si>
</sst>
</file>

<file path=xl/styles.xml><?xml version="1.0" encoding="utf-8"?>
<styleSheet xmlns="http://schemas.openxmlformats.org/spreadsheetml/2006/main">
  <numFmts count="3">
    <numFmt numFmtId="164" formatCode="0%"/>
    <numFmt numFmtId="165" formatCode="0.00"/>
    <numFmt numFmtId="166" formatCode="#,##0.00 ₽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vertical="top"/>
    </xf>
    <xf numFmtId="0" fontId="0" fillId="4" borderId="1" xfId="0" applyFill="1" applyBorder="1"/>
    <xf numFmtId="0" fontId="0" fillId="5" borderId="1" xfId="0" applyFill="1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  <xf numFmtId="165" fontId="0" fillId="6" borderId="1" xfId="0" applyNumberFormat="1" applyFill="1" applyBorder="1"/>
    <xf numFmtId="0" fontId="0" fillId="7" borderId="1" xfId="0" applyFill="1" applyBorder="1" applyAlignment="1">
      <alignment wrapText="1"/>
    </xf>
    <xf numFmtId="166" fontId="0" fillId="0" borderId="1" xfId="0" applyNumberFormat="1" applyBorder="1"/>
  </cellXfs>
  <cellStyles count="1">
    <cellStyle name="Normal" xfId="0" builtinId="0"/>
  </cellStyles>
  <dxfs count="1">
    <dxf>
      <fill>
        <patternFill>
          <bgColor rgb="FFFFD9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Nomenklatura" displayName="tblNomenklatura" ref="A1:H73" totalsRowShown="0">
  <autoFilter ref="A1:H73"/>
  <tableColumns count="8">
    <tableColumn id="1" name="Номенклатура"/>
    <tableColumn id="2" name="Тип"/>
    <tableColumn id="3" name="Базовая ед."/>
    <tableColumn id="4" name="Закупочная ед."/>
    <tableColumn id="5" name="Размер упаковки"/>
    <tableColumn id="6" name="Цена упаковки"/>
    <tableColumn id="7" name="Коэф. рецепт→база"/>
    <tableColumn id="8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Outputs" displayName="tblOutputs" ref="A1:E31" totalsRowShown="0">
  <autoFilter ref="A1:E31"/>
  <tableColumns count="5">
    <tableColumn id="1" name="Рецепт"/>
    <tableColumn id="2" name="Тип рецепта"/>
    <tableColumn id="3" name="Выход рецепта"/>
    <tableColumn id="4" name="Ед. выхода"/>
    <tableColumn id="5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Recipes" displayName="tblRecipes" ref="A1:J135" totalsRowShown="0">
  <autoFilter ref="A1:J135"/>
  <tableColumns count="10">
    <tableColumn id="1" name="ID"/>
    <tableColumn id="2" name="Рецепт"/>
    <tableColumn id="3" name="Тип рецепта"/>
    <tableColumn id="4" name="Ингредиент"/>
    <tableColumn id="5" name="Тип ингредиента"/>
    <tableColumn id="6" name="Кол-во"/>
    <tableColumn id="7" name="Ед."/>
    <tableColumn id="8" name="Комментарий"/>
    <tableColumn id="9" name="Старый тип"/>
    <tableColumn id="10" name="Источни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election" displayName="tblSelection" ref="A1:G22" totalsRowShown="0">
  <autoFilter ref="A1:G22"/>
  <tableColumns count="7">
    <tableColumn id="1" name="Позиция"/>
    <tableColumn id="2" name="Тип"/>
    <tableColumn id="3" name="Включить"/>
    <tableColumn id="4" name="Ручное кол-во"/>
    <tableColumn id="5" name="Авто кол-во"/>
    <tableColumn id="6" name="Итого к выпуску"/>
    <tableColumn id="7" name="Комментарий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MenuUse" displayName="tblMenuUse" ref="A1:I90" totalsRowShown="0">
  <autoFilter ref="A1:I90"/>
  <tableColumns count="9">
    <tableColumn id="1" name="Рецепт"/>
    <tableColumn id="2" name="Тип рецепта"/>
    <tableColumn id="3" name="Ингредиент"/>
    <tableColumn id="4" name="Тип ингредиента"/>
    <tableColumn id="5" name="Кол-во в рецепте"/>
    <tableColumn id="6" name="Ед."/>
    <tableColumn id="7" name="Кол-во выпуск"/>
    <tableColumn id="8" name="Итого нужно"/>
    <tableColumn id="9" name="Комментарий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NeedPreps" displayName="tblNeedPreps" ref="A1:F10" totalsRowShown="0">
  <autoFilter ref="A1:F10"/>
  <tableColumns count="6">
    <tableColumn id="1" name="Заготовка"/>
    <tableColumn id="2" name="Нужно из меню"/>
    <tableColumn id="3" name="Ед."/>
    <tableColumn id="4" name="Выход рецепта"/>
    <tableColumn id="5" name="Коэф. партий"/>
    <tableColumn id="6" name="Статус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tblPrepUse" displayName="tblPrepUse" ref="A1:H46" totalsRowShown="0">
  <autoFilter ref="A1:H46"/>
  <tableColumns count="8">
    <tableColumn id="1" name="Заготовка"/>
    <tableColumn id="2" name="Ингредиент"/>
    <tableColumn id="3" name="Тип ингредиента"/>
    <tableColumn id="4" name="Кол-во в рецепте"/>
    <tableColumn id="5" name="Ед."/>
    <tableColumn id="6" name="Коэф. партий"/>
    <tableColumn id="7" name="Итого нужно"/>
    <tableColumn id="8" name="Комментарий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id="8" name="tblRawTotal" displayName="tblRawTotal" ref="A1:F64" totalsRowShown="0">
  <autoFilter ref="A1:F64"/>
  <tableColumns count="6">
    <tableColumn id="1" name="Сырьё"/>
    <tableColumn id="2" name="Базовая ед."/>
    <tableColumn id="3" name="Из меню напрямую"/>
    <tableColumn id="4" name="Из заготовок"/>
    <tableColumn id="5" name="Итого нужно"/>
    <tableColumn id="6" name="Комментарий"/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id="9" name="tblShopping" displayName="tblShopping" ref="A1:I64" totalsRowCount="1">
  <autoFilter ref="A1:I63"/>
  <tableColumns count="9">
    <tableColumn id="1" name="Купить"/>
    <tableColumn id="2" name="Нужно"/>
    <tableColumn id="3" name="Ед."/>
    <tableColumn id="4" name="Размер упаковки"/>
    <tableColumn id="5" name="Закупочная ед."/>
    <tableColumn id="6" name="Купить упаковок"/>
    <tableColumn id="7" name="Цена упаковки"/>
    <tableColumn id="8" name="Сумма"/>
    <tableColumn id="9" name="Комментарий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tblIssues" displayName="tblIssues" ref="A1:E33" totalsRowShown="0">
  <autoFilter ref="A1:E33"/>
  <tableColumns count="5">
    <tableColumn id="1" name="Рецепт/позиция"/>
    <tableColumn id="2" name="Ингредиент/поле"/>
    <tableColumn id="3" name="Исходное значение"/>
    <tableColumn id="4" name="Ед."/>
    <tableColumn id="5" name="Что уточни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30.7109375" customWidth="1"/>
    <col min="2" max="2" width="18.7109375" customWidth="1"/>
    <col min="4" max="6" width="4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D3" s="2" t="s">
        <v>8</v>
      </c>
    </row>
    <row r="4" spans="1:6">
      <c r="A4" s="3" t="s">
        <v>2</v>
      </c>
      <c r="B4" s="4"/>
    </row>
    <row r="5" spans="1:6">
      <c r="A5" s="3" t="s">
        <v>3</v>
      </c>
      <c r="B5" s="4">
        <v>15</v>
      </c>
      <c r="D5" s="5" t="s">
        <v>9</v>
      </c>
    </row>
    <row r="6" spans="1:6">
      <c r="A6" s="3" t="s">
        <v>4</v>
      </c>
      <c r="B6" s="4">
        <v>1</v>
      </c>
      <c r="D6" s="5" t="s">
        <v>10</v>
      </c>
    </row>
    <row r="7" spans="1:6">
      <c r="A7" s="3" t="s">
        <v>5</v>
      </c>
      <c r="B7" s="4">
        <v>1</v>
      </c>
      <c r="D7" s="5" t="s">
        <v>11</v>
      </c>
    </row>
    <row r="8" spans="1:6">
      <c r="A8" s="3" t="s">
        <v>6</v>
      </c>
      <c r="B8" s="4">
        <v>1</v>
      </c>
      <c r="D8" s="5" t="s">
        <v>12</v>
      </c>
    </row>
    <row r="9" spans="1:6">
      <c r="A9" s="3" t="s">
        <v>7</v>
      </c>
      <c r="B9" s="6">
        <v>0.1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14.7109375" customWidth="1"/>
    <col min="4" max="4" width="18.7109375" customWidth="1"/>
    <col min="5" max="5" width="16.7109375" customWidth="1"/>
    <col min="6" max="6" width="14.7109375" customWidth="1"/>
    <col min="7" max="7" width="16.7109375" customWidth="1"/>
    <col min="8" max="8" width="34.7109375" customWidth="1"/>
  </cols>
  <sheetData>
    <row r="1" spans="1: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>
      <c r="A2" s="3" t="s">
        <v>21</v>
      </c>
      <c r="B2" s="3" t="s">
        <v>22</v>
      </c>
      <c r="C2" s="3" t="s">
        <v>23</v>
      </c>
      <c r="D2" s="3" t="s">
        <v>24</v>
      </c>
      <c r="E2" s="7">
        <v>700</v>
      </c>
      <c r="F2" s="3"/>
      <c r="G2" s="7">
        <v>1</v>
      </c>
      <c r="H2" s="3"/>
    </row>
    <row r="3" spans="1:8">
      <c r="A3" s="3" t="s">
        <v>25</v>
      </c>
      <c r="B3" s="3" t="s">
        <v>22</v>
      </c>
      <c r="C3" s="3" t="s">
        <v>23</v>
      </c>
      <c r="D3" s="3" t="s">
        <v>24</v>
      </c>
      <c r="E3" s="7">
        <v>700</v>
      </c>
      <c r="F3" s="3"/>
      <c r="G3" s="7">
        <v>1</v>
      </c>
      <c r="H3" s="3"/>
    </row>
    <row r="4" spans="1:8">
      <c r="A4" s="3" t="s">
        <v>26</v>
      </c>
      <c r="B4" s="3" t="s">
        <v>22</v>
      </c>
      <c r="C4" s="3" t="s">
        <v>23</v>
      </c>
      <c r="D4" s="3" t="s">
        <v>27</v>
      </c>
      <c r="E4" s="7">
        <v>1000</v>
      </c>
      <c r="F4" s="3"/>
      <c r="G4" s="7">
        <v>1</v>
      </c>
      <c r="H4" s="3"/>
    </row>
    <row r="5" spans="1:8">
      <c r="A5" s="3" t="s">
        <v>28</v>
      </c>
      <c r="B5" s="3" t="s">
        <v>22</v>
      </c>
      <c r="C5" s="3" t="s">
        <v>23</v>
      </c>
      <c r="D5" s="3" t="s">
        <v>27</v>
      </c>
      <c r="E5" s="7">
        <v>1000</v>
      </c>
      <c r="F5" s="3"/>
      <c r="G5" s="7">
        <v>1</v>
      </c>
      <c r="H5" s="3"/>
    </row>
    <row r="6" spans="1:8">
      <c r="A6" s="3" t="s">
        <v>29</v>
      </c>
      <c r="B6" s="3" t="s">
        <v>22</v>
      </c>
      <c r="C6" s="3" t="s">
        <v>23</v>
      </c>
      <c r="D6" s="3" t="s">
        <v>24</v>
      </c>
      <c r="E6" s="7">
        <v>700</v>
      </c>
      <c r="F6" s="3"/>
      <c r="G6" s="7">
        <v>1</v>
      </c>
      <c r="H6" s="3"/>
    </row>
    <row r="7" spans="1:8">
      <c r="A7" s="3" t="s">
        <v>30</v>
      </c>
      <c r="B7" s="3" t="s">
        <v>22</v>
      </c>
      <c r="C7" s="3" t="s">
        <v>23</v>
      </c>
      <c r="D7" s="3" t="s">
        <v>27</v>
      </c>
      <c r="E7" s="7">
        <v>1000</v>
      </c>
      <c r="F7" s="3"/>
      <c r="G7" s="7">
        <v>1</v>
      </c>
      <c r="H7" s="3"/>
    </row>
    <row r="8" spans="1:8">
      <c r="A8" s="3" t="s">
        <v>31</v>
      </c>
      <c r="B8" s="3" t="s">
        <v>22</v>
      </c>
      <c r="C8" s="3" t="s">
        <v>32</v>
      </c>
      <c r="D8" s="3" t="s">
        <v>33</v>
      </c>
      <c r="E8" s="3"/>
      <c r="F8" s="3"/>
      <c r="G8" s="7">
        <v>1</v>
      </c>
      <c r="H8" s="3" t="s">
        <v>34</v>
      </c>
    </row>
    <row r="9" spans="1:8">
      <c r="A9" s="3" t="s">
        <v>35</v>
      </c>
      <c r="B9" s="3" t="s">
        <v>22</v>
      </c>
      <c r="C9" s="3" t="s">
        <v>23</v>
      </c>
      <c r="D9" s="3" t="s">
        <v>24</v>
      </c>
      <c r="E9" s="7">
        <v>700</v>
      </c>
      <c r="F9" s="3"/>
      <c r="G9" s="7">
        <v>1</v>
      </c>
      <c r="H9" s="3"/>
    </row>
    <row r="10" spans="1:8">
      <c r="A10" s="3" t="s">
        <v>36</v>
      </c>
      <c r="B10" s="3" t="s">
        <v>37</v>
      </c>
      <c r="C10" s="3" t="s">
        <v>23</v>
      </c>
      <c r="D10" s="3"/>
      <c r="E10" s="3"/>
      <c r="F10" s="3"/>
      <c r="G10" s="7">
        <v>1</v>
      </c>
      <c r="H10" s="3"/>
    </row>
    <row r="11" spans="1:8">
      <c r="A11" s="3" t="s">
        <v>38</v>
      </c>
      <c r="B11" s="3" t="s">
        <v>37</v>
      </c>
      <c r="C11" s="3" t="s">
        <v>23</v>
      </c>
      <c r="D11" s="3"/>
      <c r="E11" s="3"/>
      <c r="F11" s="3"/>
      <c r="G11" s="7">
        <v>1</v>
      </c>
      <c r="H11" s="3"/>
    </row>
    <row r="12" spans="1:8">
      <c r="A12" s="3" t="s">
        <v>39</v>
      </c>
      <c r="B12" s="3" t="s">
        <v>22</v>
      </c>
      <c r="C12" s="3" t="s">
        <v>32</v>
      </c>
      <c r="D12" s="3" t="s">
        <v>33</v>
      </c>
      <c r="E12" s="3"/>
      <c r="F12" s="3"/>
      <c r="G12" s="7">
        <v>1</v>
      </c>
      <c r="H12" s="3" t="s">
        <v>34</v>
      </c>
    </row>
    <row r="13" spans="1:8">
      <c r="A13" s="3" t="s">
        <v>40</v>
      </c>
      <c r="B13" s="3" t="s">
        <v>22</v>
      </c>
      <c r="C13" s="3" t="s">
        <v>23</v>
      </c>
      <c r="D13" s="3" t="s">
        <v>27</v>
      </c>
      <c r="E13" s="7">
        <v>1000</v>
      </c>
      <c r="F13" s="3"/>
      <c r="G13" s="7">
        <v>1</v>
      </c>
      <c r="H13" s="3"/>
    </row>
    <row r="14" spans="1:8">
      <c r="A14" s="3" t="s">
        <v>41</v>
      </c>
      <c r="B14" s="3" t="s">
        <v>37</v>
      </c>
      <c r="C14" s="3" t="s">
        <v>23</v>
      </c>
      <c r="D14" s="3"/>
      <c r="E14" s="3"/>
      <c r="F14" s="3"/>
      <c r="G14" s="7">
        <v>1</v>
      </c>
      <c r="H14" s="3"/>
    </row>
    <row r="15" spans="1:8">
      <c r="A15" s="3" t="s">
        <v>42</v>
      </c>
      <c r="B15" s="3" t="s">
        <v>22</v>
      </c>
      <c r="C15" s="3" t="s">
        <v>23</v>
      </c>
      <c r="D15" s="3" t="s">
        <v>24</v>
      </c>
      <c r="E15" s="7">
        <v>700</v>
      </c>
      <c r="F15" s="3"/>
      <c r="G15" s="7">
        <v>1</v>
      </c>
      <c r="H15" s="3"/>
    </row>
    <row r="16" spans="1:8">
      <c r="A16" s="3" t="s">
        <v>43</v>
      </c>
      <c r="B16" s="3" t="s">
        <v>22</v>
      </c>
      <c r="C16" s="3" t="s">
        <v>23</v>
      </c>
      <c r="D16" s="3" t="s">
        <v>24</v>
      </c>
      <c r="E16" s="7">
        <v>700</v>
      </c>
      <c r="F16" s="3"/>
      <c r="G16" s="7">
        <v>1</v>
      </c>
      <c r="H16" s="3"/>
    </row>
    <row r="17" spans="1:8">
      <c r="A17" s="3" t="s">
        <v>44</v>
      </c>
      <c r="B17" s="3" t="s">
        <v>22</v>
      </c>
      <c r="C17" s="3" t="s">
        <v>32</v>
      </c>
      <c r="D17" s="3" t="s">
        <v>33</v>
      </c>
      <c r="E17" s="3"/>
      <c r="F17" s="3"/>
      <c r="G17" s="7">
        <v>1</v>
      </c>
      <c r="H17" s="3" t="s">
        <v>34</v>
      </c>
    </row>
    <row r="18" spans="1:8">
      <c r="A18" s="3" t="s">
        <v>45</v>
      </c>
      <c r="B18" s="3" t="s">
        <v>22</v>
      </c>
      <c r="C18" s="3" t="s">
        <v>23</v>
      </c>
      <c r="D18" s="3" t="s">
        <v>27</v>
      </c>
      <c r="E18" s="7">
        <v>1000</v>
      </c>
      <c r="F18" s="3"/>
      <c r="G18" s="7">
        <v>1</v>
      </c>
      <c r="H18" s="3"/>
    </row>
    <row r="19" spans="1:8">
      <c r="A19" s="3" t="s">
        <v>46</v>
      </c>
      <c r="B19" s="3" t="s">
        <v>22</v>
      </c>
      <c r="C19" s="3" t="s">
        <v>32</v>
      </c>
      <c r="D19" s="3" t="s">
        <v>33</v>
      </c>
      <c r="E19" s="3"/>
      <c r="F19" s="3"/>
      <c r="G19" s="7">
        <v>1</v>
      </c>
      <c r="H19" s="3" t="s">
        <v>34</v>
      </c>
    </row>
    <row r="20" spans="1:8">
      <c r="A20" s="3" t="s">
        <v>47</v>
      </c>
      <c r="B20" s="3" t="s">
        <v>37</v>
      </c>
      <c r="C20" s="3" t="s">
        <v>23</v>
      </c>
      <c r="D20" s="3"/>
      <c r="E20" s="3"/>
      <c r="F20" s="3"/>
      <c r="G20" s="7">
        <v>1</v>
      </c>
      <c r="H20" s="3"/>
    </row>
    <row r="21" spans="1:8">
      <c r="A21" s="3" t="s">
        <v>48</v>
      </c>
      <c r="B21" s="3" t="s">
        <v>22</v>
      </c>
      <c r="C21" s="3" t="s">
        <v>23</v>
      </c>
      <c r="D21" s="3" t="s">
        <v>24</v>
      </c>
      <c r="E21" s="7">
        <v>700</v>
      </c>
      <c r="F21" s="3"/>
      <c r="G21" s="7">
        <v>1</v>
      </c>
      <c r="H21" s="3"/>
    </row>
    <row r="22" spans="1:8">
      <c r="A22" s="3" t="s">
        <v>49</v>
      </c>
      <c r="B22" s="3" t="s">
        <v>37</v>
      </c>
      <c r="C22" s="3"/>
      <c r="D22" s="3"/>
      <c r="E22" s="3"/>
      <c r="F22" s="3"/>
      <c r="G22" s="7">
        <v>1</v>
      </c>
      <c r="H22" s="3"/>
    </row>
    <row r="23" spans="1:8">
      <c r="A23" s="3" t="s">
        <v>50</v>
      </c>
      <c r="B23" s="3" t="s">
        <v>37</v>
      </c>
      <c r="C23" s="3"/>
      <c r="D23" s="3"/>
      <c r="E23" s="3"/>
      <c r="F23" s="3"/>
      <c r="G23" s="7">
        <v>1</v>
      </c>
      <c r="H23" s="3"/>
    </row>
    <row r="24" spans="1:8">
      <c r="A24" s="3" t="s">
        <v>51</v>
      </c>
      <c r="B24" s="3" t="s">
        <v>22</v>
      </c>
      <c r="C24" s="3" t="s">
        <v>23</v>
      </c>
      <c r="D24" s="3" t="s">
        <v>27</v>
      </c>
      <c r="E24" s="7">
        <v>1000</v>
      </c>
      <c r="F24" s="3"/>
      <c r="G24" s="7">
        <v>1</v>
      </c>
      <c r="H24" s="3"/>
    </row>
    <row r="25" spans="1:8">
      <c r="A25" s="3" t="s">
        <v>52</v>
      </c>
      <c r="B25" s="3" t="s">
        <v>22</v>
      </c>
      <c r="C25" s="3" t="s">
        <v>23</v>
      </c>
      <c r="D25" s="3" t="s">
        <v>24</v>
      </c>
      <c r="E25" s="7">
        <v>700</v>
      </c>
      <c r="F25" s="3"/>
      <c r="G25" s="7">
        <v>1</v>
      </c>
      <c r="H25" s="3"/>
    </row>
    <row r="26" spans="1:8">
      <c r="A26" s="3" t="s">
        <v>53</v>
      </c>
      <c r="B26" s="3" t="s">
        <v>37</v>
      </c>
      <c r="C26" s="3"/>
      <c r="D26" s="3"/>
      <c r="E26" s="3"/>
      <c r="F26" s="3"/>
      <c r="G26" s="7">
        <v>1</v>
      </c>
      <c r="H26" s="3"/>
    </row>
    <row r="27" spans="1:8">
      <c r="A27" s="3" t="s">
        <v>54</v>
      </c>
      <c r="B27" s="3" t="s">
        <v>22</v>
      </c>
      <c r="C27" s="3" t="s">
        <v>23</v>
      </c>
      <c r="D27" s="3" t="s">
        <v>24</v>
      </c>
      <c r="E27" s="7">
        <v>700</v>
      </c>
      <c r="F27" s="3"/>
      <c r="G27" s="7">
        <v>1</v>
      </c>
      <c r="H27" s="3"/>
    </row>
    <row r="28" spans="1:8">
      <c r="A28" s="3" t="s">
        <v>55</v>
      </c>
      <c r="B28" s="3" t="s">
        <v>22</v>
      </c>
      <c r="C28" s="3"/>
      <c r="D28" s="3"/>
      <c r="E28" s="3"/>
      <c r="F28" s="3"/>
      <c r="G28" s="7">
        <v>1</v>
      </c>
      <c r="H28" s="3"/>
    </row>
    <row r="29" spans="1:8">
      <c r="A29" s="3" t="s">
        <v>56</v>
      </c>
      <c r="B29" s="3" t="s">
        <v>22</v>
      </c>
      <c r="C29" s="3" t="s">
        <v>23</v>
      </c>
      <c r="D29" s="3" t="s">
        <v>24</v>
      </c>
      <c r="E29" s="7">
        <v>700</v>
      </c>
      <c r="F29" s="3"/>
      <c r="G29" s="7">
        <v>1</v>
      </c>
      <c r="H29" s="3"/>
    </row>
    <row r="30" spans="1:8">
      <c r="A30" s="3" t="s">
        <v>57</v>
      </c>
      <c r="B30" s="3" t="s">
        <v>37</v>
      </c>
      <c r="C30" s="3" t="s">
        <v>23</v>
      </c>
      <c r="D30" s="3"/>
      <c r="E30" s="3"/>
      <c r="F30" s="3"/>
      <c r="G30" s="7">
        <v>1</v>
      </c>
      <c r="H30" s="3"/>
    </row>
    <row r="31" spans="1:8">
      <c r="A31" s="3" t="s">
        <v>58</v>
      </c>
      <c r="B31" s="3" t="s">
        <v>22</v>
      </c>
      <c r="C31" s="3" t="s">
        <v>23</v>
      </c>
      <c r="D31" s="3" t="s">
        <v>24</v>
      </c>
      <c r="E31" s="7">
        <v>700</v>
      </c>
      <c r="F31" s="3"/>
      <c r="G31" s="7">
        <v>1</v>
      </c>
      <c r="H31" s="3"/>
    </row>
    <row r="32" spans="1:8">
      <c r="A32" s="3" t="s">
        <v>59</v>
      </c>
      <c r="B32" s="3" t="s">
        <v>22</v>
      </c>
      <c r="C32" s="3" t="s">
        <v>23</v>
      </c>
      <c r="D32" s="3" t="s">
        <v>24</v>
      </c>
      <c r="E32" s="7">
        <v>700</v>
      </c>
      <c r="F32" s="3"/>
      <c r="G32" s="7">
        <v>1</v>
      </c>
      <c r="H32" s="3"/>
    </row>
    <row r="33" spans="1:8">
      <c r="A33" s="3" t="s">
        <v>60</v>
      </c>
      <c r="B33" s="3" t="s">
        <v>22</v>
      </c>
      <c r="C33" s="3" t="s">
        <v>23</v>
      </c>
      <c r="D33" s="3" t="s">
        <v>24</v>
      </c>
      <c r="E33" s="7">
        <v>700</v>
      </c>
      <c r="F33" s="3"/>
      <c r="G33" s="7">
        <v>1</v>
      </c>
      <c r="H33" s="3"/>
    </row>
    <row r="34" spans="1:8">
      <c r="A34" s="3" t="s">
        <v>61</v>
      </c>
      <c r="B34" s="3" t="s">
        <v>22</v>
      </c>
      <c r="C34" s="3" t="s">
        <v>23</v>
      </c>
      <c r="D34" s="3" t="s">
        <v>27</v>
      </c>
      <c r="E34" s="7">
        <v>1000</v>
      </c>
      <c r="F34" s="3"/>
      <c r="G34" s="7">
        <v>1</v>
      </c>
      <c r="H34" s="3"/>
    </row>
    <row r="35" spans="1:8">
      <c r="A35" s="3" t="s">
        <v>62</v>
      </c>
      <c r="B35" s="3" t="s">
        <v>22</v>
      </c>
      <c r="C35" s="3" t="s">
        <v>23</v>
      </c>
      <c r="D35" s="3" t="s">
        <v>27</v>
      </c>
      <c r="E35" s="7">
        <v>1000</v>
      </c>
      <c r="F35" s="3"/>
      <c r="G35" s="7">
        <v>1</v>
      </c>
      <c r="H35" s="3"/>
    </row>
    <row r="36" spans="1:8">
      <c r="A36" s="3" t="s">
        <v>63</v>
      </c>
      <c r="B36" s="3" t="s">
        <v>22</v>
      </c>
      <c r="C36" s="3" t="s">
        <v>64</v>
      </c>
      <c r="D36" s="3" t="s">
        <v>65</v>
      </c>
      <c r="E36" s="7">
        <v>1000</v>
      </c>
      <c r="F36" s="3"/>
      <c r="G36" s="7">
        <v>1</v>
      </c>
      <c r="H36" s="3"/>
    </row>
    <row r="37" spans="1:8">
      <c r="A37" s="3" t="s">
        <v>66</v>
      </c>
      <c r="B37" s="3" t="s">
        <v>22</v>
      </c>
      <c r="C37" s="3" t="s">
        <v>23</v>
      </c>
      <c r="D37" s="3" t="s">
        <v>27</v>
      </c>
      <c r="E37" s="7">
        <v>1000</v>
      </c>
      <c r="F37" s="3"/>
      <c r="G37" s="7">
        <v>1</v>
      </c>
      <c r="H37" s="3"/>
    </row>
    <row r="38" spans="1:8">
      <c r="A38" s="3" t="s">
        <v>67</v>
      </c>
      <c r="B38" s="3" t="s">
        <v>22</v>
      </c>
      <c r="C38" s="3" t="s">
        <v>64</v>
      </c>
      <c r="D38" s="3" t="s">
        <v>65</v>
      </c>
      <c r="E38" s="7">
        <v>1000</v>
      </c>
      <c r="F38" s="3"/>
      <c r="G38" s="7">
        <v>1</v>
      </c>
      <c r="H38" s="3"/>
    </row>
    <row r="39" spans="1:8">
      <c r="A39" s="3" t="s">
        <v>68</v>
      </c>
      <c r="B39" s="3" t="s">
        <v>22</v>
      </c>
      <c r="C39" s="3" t="s">
        <v>64</v>
      </c>
      <c r="D39" s="3" t="s">
        <v>65</v>
      </c>
      <c r="E39" s="7">
        <v>1000</v>
      </c>
      <c r="F39" s="3"/>
      <c r="G39" s="7">
        <v>1</v>
      </c>
      <c r="H39" s="3"/>
    </row>
    <row r="40" spans="1:8">
      <c r="A40" s="3" t="s">
        <v>69</v>
      </c>
      <c r="B40" s="3" t="s">
        <v>22</v>
      </c>
      <c r="C40" s="3" t="s">
        <v>64</v>
      </c>
      <c r="D40" s="3" t="s">
        <v>65</v>
      </c>
      <c r="E40" s="7">
        <v>1000</v>
      </c>
      <c r="F40" s="3"/>
      <c r="G40" s="7">
        <v>1</v>
      </c>
      <c r="H40" s="3"/>
    </row>
    <row r="41" spans="1:8">
      <c r="A41" s="3" t="s">
        <v>70</v>
      </c>
      <c r="B41" s="3" t="s">
        <v>22</v>
      </c>
      <c r="C41" s="3" t="s">
        <v>64</v>
      </c>
      <c r="D41" s="3" t="s">
        <v>65</v>
      </c>
      <c r="E41" s="7">
        <v>1000</v>
      </c>
      <c r="F41" s="3"/>
      <c r="G41" s="7">
        <v>1</v>
      </c>
      <c r="H41" s="3"/>
    </row>
    <row r="42" spans="1:8">
      <c r="A42" s="3" t="s">
        <v>71</v>
      </c>
      <c r="B42" s="3" t="s">
        <v>22</v>
      </c>
      <c r="C42" s="3" t="s">
        <v>64</v>
      </c>
      <c r="D42" s="3" t="s">
        <v>65</v>
      </c>
      <c r="E42" s="7">
        <v>1000</v>
      </c>
      <c r="F42" s="3"/>
      <c r="G42" s="7">
        <v>1</v>
      </c>
      <c r="H42" s="3"/>
    </row>
    <row r="43" spans="1:8">
      <c r="A43" s="3" t="s">
        <v>72</v>
      </c>
      <c r="B43" s="3" t="s">
        <v>22</v>
      </c>
      <c r="C43" s="3" t="s">
        <v>64</v>
      </c>
      <c r="D43" s="3" t="s">
        <v>65</v>
      </c>
      <c r="E43" s="7">
        <v>1000</v>
      </c>
      <c r="F43" s="3"/>
      <c r="G43" s="7">
        <v>1</v>
      </c>
      <c r="H43" s="3"/>
    </row>
    <row r="44" spans="1:8">
      <c r="A44" s="3" t="s">
        <v>73</v>
      </c>
      <c r="B44" s="3" t="s">
        <v>22</v>
      </c>
      <c r="C44" s="3" t="s">
        <v>23</v>
      </c>
      <c r="D44" s="3" t="s">
        <v>27</v>
      </c>
      <c r="E44" s="7">
        <v>1000</v>
      </c>
      <c r="F44" s="3"/>
      <c r="G44" s="7">
        <v>1</v>
      </c>
      <c r="H44" s="3"/>
    </row>
    <row r="45" spans="1:8">
      <c r="A45" s="3" t="s">
        <v>74</v>
      </c>
      <c r="B45" s="3" t="s">
        <v>22</v>
      </c>
      <c r="C45" s="3" t="s">
        <v>64</v>
      </c>
      <c r="D45" s="3" t="s">
        <v>65</v>
      </c>
      <c r="E45" s="7">
        <v>1000</v>
      </c>
      <c r="F45" s="3"/>
      <c r="G45" s="7">
        <v>1</v>
      </c>
      <c r="H45" s="3"/>
    </row>
    <row r="46" spans="1:8">
      <c r="A46" s="3" t="s">
        <v>75</v>
      </c>
      <c r="B46" s="3" t="s">
        <v>22</v>
      </c>
      <c r="C46" s="3" t="s">
        <v>23</v>
      </c>
      <c r="D46" s="3" t="s">
        <v>24</v>
      </c>
      <c r="E46" s="7">
        <v>700</v>
      </c>
      <c r="F46" s="3"/>
      <c r="G46" s="7">
        <v>1</v>
      </c>
      <c r="H46" s="3"/>
    </row>
    <row r="47" spans="1:8">
      <c r="A47" s="3" t="s">
        <v>76</v>
      </c>
      <c r="B47" s="3" t="s">
        <v>22</v>
      </c>
      <c r="C47" s="3" t="s">
        <v>64</v>
      </c>
      <c r="D47" s="3" t="s">
        <v>65</v>
      </c>
      <c r="E47" s="7">
        <v>1000</v>
      </c>
      <c r="F47" s="3"/>
      <c r="G47" s="7">
        <v>1</v>
      </c>
      <c r="H47" s="3"/>
    </row>
    <row r="48" spans="1:8">
      <c r="A48" s="3" t="s">
        <v>77</v>
      </c>
      <c r="B48" s="3" t="s">
        <v>22</v>
      </c>
      <c r="C48" s="3" t="s">
        <v>64</v>
      </c>
      <c r="D48" s="3" t="s">
        <v>65</v>
      </c>
      <c r="E48" s="7">
        <v>1000</v>
      </c>
      <c r="F48" s="3"/>
      <c r="G48" s="7">
        <v>1</v>
      </c>
      <c r="H48" s="3"/>
    </row>
    <row r="49" spans="1:8">
      <c r="A49" s="3" t="s">
        <v>78</v>
      </c>
      <c r="B49" s="3" t="s">
        <v>22</v>
      </c>
      <c r="C49" s="3" t="s">
        <v>64</v>
      </c>
      <c r="D49" s="3" t="s">
        <v>65</v>
      </c>
      <c r="E49" s="7">
        <v>1000</v>
      </c>
      <c r="F49" s="3"/>
      <c r="G49" s="7">
        <v>1</v>
      </c>
      <c r="H49" s="3"/>
    </row>
    <row r="50" spans="1:8">
      <c r="A50" s="3" t="s">
        <v>79</v>
      </c>
      <c r="B50" s="3" t="s">
        <v>22</v>
      </c>
      <c r="C50" s="3" t="s">
        <v>64</v>
      </c>
      <c r="D50" s="3" t="s">
        <v>65</v>
      </c>
      <c r="E50" s="7">
        <v>1000</v>
      </c>
      <c r="F50" s="3"/>
      <c r="G50" s="7">
        <v>1</v>
      </c>
      <c r="H50" s="3"/>
    </row>
    <row r="51" spans="1:8">
      <c r="A51" s="3" t="s">
        <v>80</v>
      </c>
      <c r="B51" s="3" t="s">
        <v>22</v>
      </c>
      <c r="C51" s="3"/>
      <c r="D51" s="3"/>
      <c r="E51" s="3"/>
      <c r="F51" s="3"/>
      <c r="G51" s="7">
        <v>1</v>
      </c>
      <c r="H51" s="3"/>
    </row>
    <row r="52" spans="1:8">
      <c r="A52" s="3" t="s">
        <v>81</v>
      </c>
      <c r="B52" s="3" t="s">
        <v>22</v>
      </c>
      <c r="C52" s="3" t="s">
        <v>64</v>
      </c>
      <c r="D52" s="3" t="s">
        <v>65</v>
      </c>
      <c r="E52" s="7">
        <v>1000</v>
      </c>
      <c r="F52" s="3"/>
      <c r="G52" s="7">
        <v>1</v>
      </c>
      <c r="H52" s="3"/>
    </row>
    <row r="53" spans="1:8">
      <c r="A53" s="3" t="s">
        <v>82</v>
      </c>
      <c r="B53" s="3" t="s">
        <v>22</v>
      </c>
      <c r="C53" s="3" t="s">
        <v>64</v>
      </c>
      <c r="D53" s="3" t="s">
        <v>65</v>
      </c>
      <c r="E53" s="7">
        <v>1000</v>
      </c>
      <c r="F53" s="3"/>
      <c r="G53" s="7">
        <v>1</v>
      </c>
      <c r="H53" s="3"/>
    </row>
    <row r="54" spans="1:8">
      <c r="A54" s="3" t="s">
        <v>83</v>
      </c>
      <c r="B54" s="3" t="s">
        <v>22</v>
      </c>
      <c r="C54" s="3" t="s">
        <v>23</v>
      </c>
      <c r="D54" s="3" t="s">
        <v>27</v>
      </c>
      <c r="E54" s="7">
        <v>1000</v>
      </c>
      <c r="F54" s="3"/>
      <c r="G54" s="7">
        <v>1</v>
      </c>
      <c r="H54" s="3"/>
    </row>
    <row r="55" spans="1:8">
      <c r="A55" s="3" t="s">
        <v>84</v>
      </c>
      <c r="B55" s="3" t="s">
        <v>22</v>
      </c>
      <c r="C55" s="3" t="s">
        <v>64</v>
      </c>
      <c r="D55" s="3" t="s">
        <v>65</v>
      </c>
      <c r="E55" s="7">
        <v>1000</v>
      </c>
      <c r="F55" s="3"/>
      <c r="G55" s="7">
        <v>1</v>
      </c>
      <c r="H55" s="3"/>
    </row>
    <row r="56" spans="1:8">
      <c r="A56" s="3" t="s">
        <v>85</v>
      </c>
      <c r="B56" s="3" t="s">
        <v>22</v>
      </c>
      <c r="C56" s="3" t="s">
        <v>86</v>
      </c>
      <c r="D56" s="3" t="s">
        <v>86</v>
      </c>
      <c r="E56" s="7">
        <v>1</v>
      </c>
      <c r="F56" s="3"/>
      <c r="G56" s="7">
        <v>1</v>
      </c>
      <c r="H56" s="3"/>
    </row>
    <row r="57" spans="1:8">
      <c r="A57" s="3" t="s">
        <v>87</v>
      </c>
      <c r="B57" s="3" t="s">
        <v>22</v>
      </c>
      <c r="C57" s="3" t="s">
        <v>86</v>
      </c>
      <c r="D57" s="3" t="s">
        <v>86</v>
      </c>
      <c r="E57" s="7">
        <v>1</v>
      </c>
      <c r="F57" s="3"/>
      <c r="G57" s="7">
        <v>1</v>
      </c>
      <c r="H57" s="3"/>
    </row>
    <row r="58" spans="1:8">
      <c r="A58" s="3" t="s">
        <v>88</v>
      </c>
      <c r="B58" s="3" t="s">
        <v>22</v>
      </c>
      <c r="C58" s="3" t="s">
        <v>86</v>
      </c>
      <c r="D58" s="3" t="s">
        <v>86</v>
      </c>
      <c r="E58" s="7">
        <v>1</v>
      </c>
      <c r="F58" s="3"/>
      <c r="G58" s="7">
        <v>1</v>
      </c>
      <c r="H58" s="3"/>
    </row>
    <row r="59" spans="1:8">
      <c r="A59" s="3" t="s">
        <v>89</v>
      </c>
      <c r="B59" s="3" t="s">
        <v>22</v>
      </c>
      <c r="C59" s="3" t="s">
        <v>23</v>
      </c>
      <c r="D59" s="3" t="s">
        <v>24</v>
      </c>
      <c r="E59" s="7">
        <v>700</v>
      </c>
      <c r="F59" s="3"/>
      <c r="G59" s="7">
        <v>1</v>
      </c>
      <c r="H59" s="3"/>
    </row>
    <row r="60" spans="1:8">
      <c r="A60" s="3" t="s">
        <v>90</v>
      </c>
      <c r="B60" s="3" t="s">
        <v>22</v>
      </c>
      <c r="C60" s="3" t="s">
        <v>64</v>
      </c>
      <c r="D60" s="3" t="s">
        <v>65</v>
      </c>
      <c r="E60" s="7">
        <v>1000</v>
      </c>
      <c r="F60" s="3"/>
      <c r="G60" s="7">
        <v>1</v>
      </c>
      <c r="H60" s="3"/>
    </row>
    <row r="61" spans="1:8">
      <c r="A61" s="3" t="s">
        <v>91</v>
      </c>
      <c r="B61" s="3" t="s">
        <v>22</v>
      </c>
      <c r="C61" s="3" t="s">
        <v>64</v>
      </c>
      <c r="D61" s="3" t="s">
        <v>65</v>
      </c>
      <c r="E61" s="7">
        <v>1000</v>
      </c>
      <c r="F61" s="3"/>
      <c r="G61" s="7">
        <v>1</v>
      </c>
      <c r="H61" s="3"/>
    </row>
    <row r="62" spans="1:8">
      <c r="A62" s="3" t="s">
        <v>92</v>
      </c>
      <c r="B62" s="3" t="s">
        <v>22</v>
      </c>
      <c r="C62" s="3" t="s">
        <v>64</v>
      </c>
      <c r="D62" s="3" t="s">
        <v>65</v>
      </c>
      <c r="E62" s="7">
        <v>1000</v>
      </c>
      <c r="F62" s="3"/>
      <c r="G62" s="7">
        <v>1</v>
      </c>
      <c r="H62" s="3"/>
    </row>
    <row r="63" spans="1:8">
      <c r="A63" s="3" t="s">
        <v>93</v>
      </c>
      <c r="B63" s="3" t="s">
        <v>22</v>
      </c>
      <c r="C63" s="3" t="s">
        <v>64</v>
      </c>
      <c r="D63" s="3" t="s">
        <v>65</v>
      </c>
      <c r="E63" s="7">
        <v>1000</v>
      </c>
      <c r="F63" s="3"/>
      <c r="G63" s="7">
        <v>1</v>
      </c>
      <c r="H63" s="3"/>
    </row>
    <row r="64" spans="1:8">
      <c r="A64" s="3" t="s">
        <v>94</v>
      </c>
      <c r="B64" s="3" t="s">
        <v>22</v>
      </c>
      <c r="C64" s="3" t="s">
        <v>64</v>
      </c>
      <c r="D64" s="3" t="s">
        <v>65</v>
      </c>
      <c r="E64" s="7">
        <v>1000</v>
      </c>
      <c r="F64" s="3"/>
      <c r="G64" s="7">
        <v>1</v>
      </c>
      <c r="H64" s="3"/>
    </row>
    <row r="65" spans="1:8">
      <c r="A65" s="3" t="s">
        <v>95</v>
      </c>
      <c r="B65" s="3" t="s">
        <v>22</v>
      </c>
      <c r="C65" s="3" t="s">
        <v>64</v>
      </c>
      <c r="D65" s="3" t="s">
        <v>65</v>
      </c>
      <c r="E65" s="7">
        <v>1000</v>
      </c>
      <c r="F65" s="3"/>
      <c r="G65" s="7">
        <v>1</v>
      </c>
      <c r="H65" s="3"/>
    </row>
    <row r="66" spans="1:8">
      <c r="A66" s="3" t="s">
        <v>96</v>
      </c>
      <c r="B66" s="3" t="s">
        <v>22</v>
      </c>
      <c r="C66" s="3" t="s">
        <v>64</v>
      </c>
      <c r="D66" s="3" t="s">
        <v>65</v>
      </c>
      <c r="E66" s="7">
        <v>1000</v>
      </c>
      <c r="F66" s="3"/>
      <c r="G66" s="7">
        <v>1</v>
      </c>
      <c r="H66" s="3"/>
    </row>
    <row r="67" spans="1:8">
      <c r="A67" s="3" t="s">
        <v>97</v>
      </c>
      <c r="B67" s="3" t="s">
        <v>22</v>
      </c>
      <c r="C67" s="3" t="s">
        <v>23</v>
      </c>
      <c r="D67" s="3" t="s">
        <v>27</v>
      </c>
      <c r="E67" s="7">
        <v>1000</v>
      </c>
      <c r="F67" s="3"/>
      <c r="G67" s="7">
        <v>1</v>
      </c>
      <c r="H67" s="3"/>
    </row>
    <row r="68" spans="1:8">
      <c r="A68" s="3" t="s">
        <v>98</v>
      </c>
      <c r="B68" s="3" t="s">
        <v>22</v>
      </c>
      <c r="C68" s="3" t="s">
        <v>64</v>
      </c>
      <c r="D68" s="3" t="s">
        <v>65</v>
      </c>
      <c r="E68" s="7">
        <v>1000</v>
      </c>
      <c r="F68" s="3"/>
      <c r="G68" s="7">
        <v>1</v>
      </c>
      <c r="H68" s="3"/>
    </row>
    <row r="69" spans="1:8">
      <c r="A69" s="3" t="s">
        <v>99</v>
      </c>
      <c r="B69" s="3" t="s">
        <v>22</v>
      </c>
      <c r="C69" s="3" t="s">
        <v>23</v>
      </c>
      <c r="D69" s="3" t="s">
        <v>27</v>
      </c>
      <c r="E69" s="7">
        <v>1000</v>
      </c>
      <c r="F69" s="3"/>
      <c r="G69" s="7">
        <v>1</v>
      </c>
      <c r="H69" s="3"/>
    </row>
    <row r="70" spans="1:8">
      <c r="A70" s="3" t="s">
        <v>100</v>
      </c>
      <c r="B70" s="3" t="s">
        <v>22</v>
      </c>
      <c r="C70" s="3" t="s">
        <v>23</v>
      </c>
      <c r="D70" s="3" t="s">
        <v>27</v>
      </c>
      <c r="E70" s="7">
        <v>1000</v>
      </c>
      <c r="F70" s="3"/>
      <c r="G70" s="7">
        <v>1</v>
      </c>
      <c r="H70" s="3"/>
    </row>
    <row r="71" spans="1:8">
      <c r="A71" s="3" t="s">
        <v>101</v>
      </c>
      <c r="B71" s="3" t="s">
        <v>22</v>
      </c>
      <c r="C71" s="3" t="s">
        <v>23</v>
      </c>
      <c r="D71" s="3" t="s">
        <v>27</v>
      </c>
      <c r="E71" s="7">
        <v>1000</v>
      </c>
      <c r="F71" s="3"/>
      <c r="G71" s="7">
        <v>1</v>
      </c>
      <c r="H71" s="3"/>
    </row>
    <row r="72" spans="1:8">
      <c r="A72" s="3" t="s">
        <v>102</v>
      </c>
      <c r="B72" s="3" t="s">
        <v>22</v>
      </c>
      <c r="C72" s="3" t="s">
        <v>23</v>
      </c>
      <c r="D72" s="3" t="s">
        <v>24</v>
      </c>
      <c r="E72" s="7">
        <v>700</v>
      </c>
      <c r="F72" s="3"/>
      <c r="G72" s="7">
        <v>1</v>
      </c>
      <c r="H72" s="3"/>
    </row>
    <row r="73" spans="1:8">
      <c r="A73" s="3" t="s">
        <v>103</v>
      </c>
      <c r="B73" s="3" t="s">
        <v>37</v>
      </c>
      <c r="C73" s="3" t="s">
        <v>23</v>
      </c>
      <c r="D73" s="3"/>
      <c r="E73" s="3"/>
      <c r="F73" s="3"/>
      <c r="G73" s="7">
        <v>1</v>
      </c>
      <c r="H73" s="3" t="s">
        <v>104</v>
      </c>
    </row>
  </sheetData>
  <dataValidations count="2">
    <dataValidation type="list" allowBlank="1" showInputMessage="1" showErrorMessage="1" sqref="B2:B74">
      <formula1>"Сырьё,Заготовка"</formula1>
    </dataValidation>
    <dataValidation type="list" allowBlank="1" showInputMessage="1" showErrorMessage="1" sqref="C2:C74">
      <formula1>"мл,г,шт,лист,веточка,шт/веточка,порция"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3" width="16.7109375" customWidth="1"/>
    <col min="4" max="4" width="14.7109375" customWidth="1"/>
    <col min="5" max="5" width="55.7109375" customWidth="1"/>
  </cols>
  <sheetData>
    <row r="1" spans="1:5">
      <c r="A1" t="s">
        <v>105</v>
      </c>
      <c r="B1" t="s">
        <v>106</v>
      </c>
      <c r="C1" t="s">
        <v>107</v>
      </c>
      <c r="D1" t="s">
        <v>108</v>
      </c>
      <c r="E1" t="s">
        <v>20</v>
      </c>
    </row>
    <row r="2" spans="1:5">
      <c r="A2" s="3" t="s">
        <v>109</v>
      </c>
      <c r="B2" s="3" t="s">
        <v>110</v>
      </c>
      <c r="C2" s="7">
        <v>1</v>
      </c>
      <c r="D2" s="3" t="s">
        <v>111</v>
      </c>
      <c r="E2" s="3" t="s">
        <v>112</v>
      </c>
    </row>
    <row r="3" spans="1:5">
      <c r="A3" s="3" t="s">
        <v>113</v>
      </c>
      <c r="B3" s="3" t="s">
        <v>110</v>
      </c>
      <c r="C3" s="7">
        <v>1</v>
      </c>
      <c r="D3" s="3" t="s">
        <v>111</v>
      </c>
      <c r="E3" s="3" t="s">
        <v>112</v>
      </c>
    </row>
    <row r="4" spans="1:5">
      <c r="A4" s="3" t="s">
        <v>114</v>
      </c>
      <c r="B4" s="3" t="s">
        <v>110</v>
      </c>
      <c r="C4" s="7">
        <v>1</v>
      </c>
      <c r="D4" s="3" t="s">
        <v>111</v>
      </c>
      <c r="E4" s="3" t="s">
        <v>112</v>
      </c>
    </row>
    <row r="5" spans="1:5">
      <c r="A5" s="3" t="s">
        <v>115</v>
      </c>
      <c r="B5" s="3" t="s">
        <v>110</v>
      </c>
      <c r="C5" s="7">
        <v>1</v>
      </c>
      <c r="D5" s="3" t="s">
        <v>111</v>
      </c>
      <c r="E5" s="3" t="s">
        <v>112</v>
      </c>
    </row>
    <row r="6" spans="1:5">
      <c r="A6" s="3" t="s">
        <v>116</v>
      </c>
      <c r="B6" s="3" t="s">
        <v>110</v>
      </c>
      <c r="C6" s="7">
        <v>1</v>
      </c>
      <c r="D6" s="3" t="s">
        <v>111</v>
      </c>
      <c r="E6" s="3" t="s">
        <v>112</v>
      </c>
    </row>
    <row r="7" spans="1:5">
      <c r="A7" s="3" t="s">
        <v>117</v>
      </c>
      <c r="B7" s="3" t="s">
        <v>110</v>
      </c>
      <c r="C7" s="7">
        <v>1</v>
      </c>
      <c r="D7" s="3" t="s">
        <v>111</v>
      </c>
      <c r="E7" s="3" t="s">
        <v>112</v>
      </c>
    </row>
    <row r="8" spans="1:5">
      <c r="A8" s="3" t="s">
        <v>118</v>
      </c>
      <c r="B8" s="3" t="s">
        <v>110</v>
      </c>
      <c r="C8" s="7">
        <v>1</v>
      </c>
      <c r="D8" s="3" t="s">
        <v>111</v>
      </c>
      <c r="E8" s="3" t="s">
        <v>112</v>
      </c>
    </row>
    <row r="9" spans="1:5">
      <c r="A9" s="3" t="s">
        <v>119</v>
      </c>
      <c r="B9" s="3" t="s">
        <v>110</v>
      </c>
      <c r="C9" s="7">
        <v>1</v>
      </c>
      <c r="D9" s="3" t="s">
        <v>111</v>
      </c>
      <c r="E9" s="3" t="s">
        <v>112</v>
      </c>
    </row>
    <row r="10" spans="1:5">
      <c r="A10" s="3" t="s">
        <v>120</v>
      </c>
      <c r="B10" s="3" t="s">
        <v>110</v>
      </c>
      <c r="C10" s="7">
        <v>1</v>
      </c>
      <c r="D10" s="3" t="s">
        <v>111</v>
      </c>
      <c r="E10" s="3" t="s">
        <v>112</v>
      </c>
    </row>
    <row r="11" spans="1:5">
      <c r="A11" s="3" t="s">
        <v>121</v>
      </c>
      <c r="B11" s="3" t="s">
        <v>110</v>
      </c>
      <c r="C11" s="7">
        <v>1</v>
      </c>
      <c r="D11" s="3" t="s">
        <v>111</v>
      </c>
      <c r="E11" s="3" t="s">
        <v>112</v>
      </c>
    </row>
    <row r="12" spans="1:5">
      <c r="A12" s="3" t="s">
        <v>122</v>
      </c>
      <c r="B12" s="3" t="s">
        <v>110</v>
      </c>
      <c r="C12" s="7">
        <v>1</v>
      </c>
      <c r="D12" s="3" t="s">
        <v>111</v>
      </c>
      <c r="E12" s="3" t="s">
        <v>112</v>
      </c>
    </row>
    <row r="13" spans="1:5">
      <c r="A13" s="3" t="s">
        <v>123</v>
      </c>
      <c r="B13" s="3" t="s">
        <v>110</v>
      </c>
      <c r="C13" s="7">
        <v>1</v>
      </c>
      <c r="D13" s="3" t="s">
        <v>111</v>
      </c>
      <c r="E13" s="3" t="s">
        <v>112</v>
      </c>
    </row>
    <row r="14" spans="1:5">
      <c r="A14" s="3" t="s">
        <v>124</v>
      </c>
      <c r="B14" s="3" t="s">
        <v>125</v>
      </c>
      <c r="C14" s="7">
        <v>1</v>
      </c>
      <c r="D14" s="3" t="s">
        <v>111</v>
      </c>
      <c r="E14" s="3" t="s">
        <v>112</v>
      </c>
    </row>
    <row r="15" spans="1:5">
      <c r="A15" s="3" t="s">
        <v>126</v>
      </c>
      <c r="B15" s="3" t="s">
        <v>125</v>
      </c>
      <c r="C15" s="7">
        <v>1</v>
      </c>
      <c r="D15" s="3" t="s">
        <v>111</v>
      </c>
      <c r="E15" s="3" t="s">
        <v>112</v>
      </c>
    </row>
    <row r="16" spans="1:5">
      <c r="A16" s="3" t="s">
        <v>127</v>
      </c>
      <c r="B16" s="3" t="s">
        <v>125</v>
      </c>
      <c r="C16" s="7">
        <v>1</v>
      </c>
      <c r="D16" s="3" t="s">
        <v>111</v>
      </c>
      <c r="E16" s="3" t="s">
        <v>112</v>
      </c>
    </row>
    <row r="17" spans="1:5">
      <c r="A17" s="3" t="s">
        <v>128</v>
      </c>
      <c r="B17" s="3" t="s">
        <v>125</v>
      </c>
      <c r="C17" s="7">
        <v>1</v>
      </c>
      <c r="D17" s="3" t="s">
        <v>111</v>
      </c>
      <c r="E17" s="3" t="s">
        <v>112</v>
      </c>
    </row>
    <row r="18" spans="1:5">
      <c r="A18" s="3" t="s">
        <v>129</v>
      </c>
      <c r="B18" s="3" t="s">
        <v>125</v>
      </c>
      <c r="C18" s="7">
        <v>1</v>
      </c>
      <c r="D18" s="3" t="s">
        <v>111</v>
      </c>
      <c r="E18" s="3" t="s">
        <v>112</v>
      </c>
    </row>
    <row r="19" spans="1:5">
      <c r="A19" s="3" t="s">
        <v>130</v>
      </c>
      <c r="B19" s="3" t="s">
        <v>131</v>
      </c>
      <c r="C19" s="4"/>
      <c r="D19" s="3" t="s">
        <v>23</v>
      </c>
      <c r="E19" s="3" t="s">
        <v>132</v>
      </c>
    </row>
    <row r="20" spans="1:5">
      <c r="A20" s="3" t="s">
        <v>133</v>
      </c>
      <c r="B20" s="3" t="s">
        <v>131</v>
      </c>
      <c r="C20" s="4"/>
      <c r="D20" s="3" t="s">
        <v>23</v>
      </c>
      <c r="E20" s="3" t="s">
        <v>132</v>
      </c>
    </row>
    <row r="21" spans="1:5">
      <c r="A21" s="3" t="s">
        <v>134</v>
      </c>
      <c r="B21" s="3" t="s">
        <v>131</v>
      </c>
      <c r="C21" s="4"/>
      <c r="D21" s="3" t="s">
        <v>23</v>
      </c>
      <c r="E21" s="3" t="s">
        <v>132</v>
      </c>
    </row>
    <row r="22" spans="1:5">
      <c r="A22" s="3" t="s">
        <v>135</v>
      </c>
      <c r="B22" s="3" t="s">
        <v>131</v>
      </c>
      <c r="C22" s="4"/>
      <c r="D22" s="3" t="s">
        <v>23</v>
      </c>
      <c r="E22" s="3" t="s">
        <v>132</v>
      </c>
    </row>
    <row r="23" spans="1:5">
      <c r="A23" s="3" t="s">
        <v>103</v>
      </c>
      <c r="B23" s="3" t="s">
        <v>37</v>
      </c>
      <c r="C23" s="4"/>
      <c r="D23" s="3" t="s">
        <v>23</v>
      </c>
      <c r="E23" s="3" t="s">
        <v>136</v>
      </c>
    </row>
    <row r="24" spans="1:5">
      <c r="A24" s="3" t="s">
        <v>36</v>
      </c>
      <c r="B24" s="3" t="s">
        <v>37</v>
      </c>
      <c r="C24" s="4"/>
      <c r="D24" s="3" t="s">
        <v>23</v>
      </c>
      <c r="E24" s="3" t="s">
        <v>136</v>
      </c>
    </row>
    <row r="25" spans="1:5">
      <c r="A25" s="3" t="s">
        <v>38</v>
      </c>
      <c r="B25" s="3" t="s">
        <v>37</v>
      </c>
      <c r="C25" s="4"/>
      <c r="D25" s="3" t="s">
        <v>23</v>
      </c>
      <c r="E25" s="3" t="s">
        <v>136</v>
      </c>
    </row>
    <row r="26" spans="1:5">
      <c r="A26" s="3" t="s">
        <v>41</v>
      </c>
      <c r="B26" s="3" t="s">
        <v>37</v>
      </c>
      <c r="C26" s="4"/>
      <c r="D26" s="3" t="s">
        <v>23</v>
      </c>
      <c r="E26" s="3" t="s">
        <v>136</v>
      </c>
    </row>
    <row r="27" spans="1:5">
      <c r="A27" s="3" t="s">
        <v>49</v>
      </c>
      <c r="B27" s="3" t="s">
        <v>37</v>
      </c>
      <c r="C27" s="4"/>
      <c r="D27" s="3" t="s">
        <v>23</v>
      </c>
      <c r="E27" s="3" t="s">
        <v>136</v>
      </c>
    </row>
    <row r="28" spans="1:5">
      <c r="A28" s="3" t="s">
        <v>50</v>
      </c>
      <c r="B28" s="3" t="s">
        <v>37</v>
      </c>
      <c r="C28" s="4"/>
      <c r="D28" s="3" t="s">
        <v>23</v>
      </c>
      <c r="E28" s="3" t="s">
        <v>136</v>
      </c>
    </row>
    <row r="29" spans="1:5">
      <c r="A29" s="3" t="s">
        <v>57</v>
      </c>
      <c r="B29" s="3" t="s">
        <v>37</v>
      </c>
      <c r="C29" s="4"/>
      <c r="D29" s="3" t="s">
        <v>23</v>
      </c>
      <c r="E29" s="3" t="s">
        <v>136</v>
      </c>
    </row>
    <row r="30" spans="1:5">
      <c r="A30" s="3" t="s">
        <v>53</v>
      </c>
      <c r="B30" s="3" t="s">
        <v>37</v>
      </c>
      <c r="C30" s="4"/>
      <c r="D30" s="3" t="s">
        <v>23</v>
      </c>
      <c r="E30" s="3" t="s">
        <v>136</v>
      </c>
    </row>
    <row r="31" spans="1:5">
      <c r="A31" s="3" t="s">
        <v>47</v>
      </c>
      <c r="B31" s="3" t="s">
        <v>37</v>
      </c>
      <c r="C31" s="4"/>
      <c r="D31" s="3" t="s">
        <v>23</v>
      </c>
      <c r="E31" s="3" t="s">
        <v>136</v>
      </c>
    </row>
  </sheetData>
  <conditionalFormatting sqref="C2:C31">
    <cfRule type="containsBlanks" dxfId="0" priority="1">
      <formula>LEN(TRIM(C2))=0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8.7109375" customWidth="1"/>
    <col min="3" max="3" width="16.7109375" customWidth="1"/>
    <col min="4" max="4" width="28.7109375" customWidth="1"/>
    <col min="5" max="5" width="16.7109375" customWidth="1"/>
    <col min="6" max="6" width="12.7109375" customWidth="1"/>
    <col min="7" max="7" width="14.7109375" customWidth="1"/>
    <col min="8" max="8" width="28.7109375" customWidth="1"/>
    <col min="9" max="9" width="16.7109375" customWidth="1"/>
    <col min="10" max="10" width="18.7109375" customWidth="1"/>
  </cols>
  <sheetData>
    <row r="1" spans="1:10">
      <c r="A1" t="s">
        <v>137</v>
      </c>
      <c r="B1" t="s">
        <v>105</v>
      </c>
      <c r="C1" t="s">
        <v>106</v>
      </c>
      <c r="D1" t="s">
        <v>138</v>
      </c>
      <c r="E1" t="s">
        <v>139</v>
      </c>
      <c r="F1" t="s">
        <v>140</v>
      </c>
      <c r="G1" t="s">
        <v>141</v>
      </c>
      <c r="H1" t="s">
        <v>20</v>
      </c>
      <c r="I1" t="s">
        <v>142</v>
      </c>
      <c r="J1" t="s">
        <v>143</v>
      </c>
    </row>
    <row r="2" spans="1:10">
      <c r="A2" s="7">
        <v>1</v>
      </c>
      <c r="B2" s="3" t="s">
        <v>109</v>
      </c>
      <c r="C2" s="3" t="s">
        <v>110</v>
      </c>
      <c r="D2" s="3" t="s">
        <v>21</v>
      </c>
      <c r="E2" s="3" t="s">
        <v>22</v>
      </c>
      <c r="F2" s="7">
        <v>90</v>
      </c>
      <c r="G2" s="3" t="s">
        <v>23</v>
      </c>
      <c r="H2" s="3"/>
      <c r="I2" s="3" t="s">
        <v>144</v>
      </c>
      <c r="J2" s="3" t="s">
        <v>145</v>
      </c>
    </row>
    <row r="3" spans="1:10">
      <c r="A3" s="7">
        <v>2</v>
      </c>
      <c r="B3" s="3" t="s">
        <v>109</v>
      </c>
      <c r="C3" s="3" t="s">
        <v>110</v>
      </c>
      <c r="D3" s="3" t="s">
        <v>25</v>
      </c>
      <c r="E3" s="3" t="s">
        <v>22</v>
      </c>
      <c r="F3" s="7">
        <v>60</v>
      </c>
      <c r="G3" s="3" t="s">
        <v>23</v>
      </c>
      <c r="H3" s="3"/>
      <c r="I3" s="3" t="s">
        <v>144</v>
      </c>
      <c r="J3" s="3" t="s">
        <v>146</v>
      </c>
    </row>
    <row r="4" spans="1:10">
      <c r="A4" s="7">
        <v>3</v>
      </c>
      <c r="B4" s="3" t="s">
        <v>109</v>
      </c>
      <c r="C4" s="3" t="s">
        <v>110</v>
      </c>
      <c r="D4" s="3" t="s">
        <v>26</v>
      </c>
      <c r="E4" s="3" t="s">
        <v>22</v>
      </c>
      <c r="F4" s="3"/>
      <c r="G4" s="3" t="s">
        <v>23</v>
      </c>
      <c r="H4" s="3" t="s">
        <v>147</v>
      </c>
      <c r="I4" s="3"/>
      <c r="J4" s="3" t="s">
        <v>148</v>
      </c>
    </row>
    <row r="5" spans="1:10">
      <c r="A5" s="7">
        <v>4</v>
      </c>
      <c r="B5" s="3" t="s">
        <v>113</v>
      </c>
      <c r="C5" s="3" t="s">
        <v>110</v>
      </c>
      <c r="D5" s="3" t="s">
        <v>28</v>
      </c>
      <c r="E5" s="3" t="s">
        <v>22</v>
      </c>
      <c r="F5" s="7">
        <v>35</v>
      </c>
      <c r="G5" s="3" t="s">
        <v>23</v>
      </c>
      <c r="H5" s="3"/>
      <c r="I5" s="3" t="s">
        <v>149</v>
      </c>
      <c r="J5" s="3" t="s">
        <v>150</v>
      </c>
    </row>
    <row r="6" spans="1:10">
      <c r="A6" s="7">
        <v>5</v>
      </c>
      <c r="B6" s="3" t="s">
        <v>113</v>
      </c>
      <c r="C6" s="3" t="s">
        <v>110</v>
      </c>
      <c r="D6" s="3" t="s">
        <v>29</v>
      </c>
      <c r="E6" s="3" t="s">
        <v>22</v>
      </c>
      <c r="F6" s="7">
        <v>40</v>
      </c>
      <c r="G6" s="3" t="s">
        <v>23</v>
      </c>
      <c r="H6" s="3"/>
      <c r="I6" s="3" t="s">
        <v>144</v>
      </c>
      <c r="J6" s="3" t="s">
        <v>151</v>
      </c>
    </row>
    <row r="7" spans="1:10">
      <c r="A7" s="7">
        <v>6</v>
      </c>
      <c r="B7" s="3" t="s">
        <v>113</v>
      </c>
      <c r="C7" s="3" t="s">
        <v>110</v>
      </c>
      <c r="D7" s="3" t="s">
        <v>30</v>
      </c>
      <c r="E7" s="3" t="s">
        <v>22</v>
      </c>
      <c r="F7" s="7">
        <v>15</v>
      </c>
      <c r="G7" s="3" t="s">
        <v>23</v>
      </c>
      <c r="H7" s="3"/>
      <c r="I7" s="3" t="s">
        <v>152</v>
      </c>
      <c r="J7" s="3" t="s">
        <v>153</v>
      </c>
    </row>
    <row r="8" spans="1:10">
      <c r="A8" s="7">
        <v>7</v>
      </c>
      <c r="B8" s="3" t="s">
        <v>113</v>
      </c>
      <c r="C8" s="3" t="s">
        <v>110</v>
      </c>
      <c r="D8" s="3" t="s">
        <v>31</v>
      </c>
      <c r="E8" s="3" t="s">
        <v>22</v>
      </c>
      <c r="F8" s="7">
        <v>10</v>
      </c>
      <c r="G8" s="3" t="s">
        <v>32</v>
      </c>
      <c r="H8" s="3"/>
      <c r="I8" s="3"/>
      <c r="J8" s="3" t="s">
        <v>154</v>
      </c>
    </row>
    <row r="9" spans="1:10">
      <c r="A9" s="7">
        <v>8</v>
      </c>
      <c r="B9" s="3" t="s">
        <v>113</v>
      </c>
      <c r="C9" s="3" t="s">
        <v>110</v>
      </c>
      <c r="D9" s="3" t="s">
        <v>26</v>
      </c>
      <c r="E9" s="3" t="s">
        <v>22</v>
      </c>
      <c r="F9" s="3"/>
      <c r="G9" s="3" t="s">
        <v>23</v>
      </c>
      <c r="H9" s="3" t="s">
        <v>147</v>
      </c>
      <c r="I9" s="3" t="s">
        <v>149</v>
      </c>
      <c r="J9" s="3" t="s">
        <v>155</v>
      </c>
    </row>
    <row r="10" spans="1:10">
      <c r="A10" s="7">
        <v>9</v>
      </c>
      <c r="B10" s="3" t="s">
        <v>114</v>
      </c>
      <c r="C10" s="3" t="s">
        <v>110</v>
      </c>
      <c r="D10" s="3" t="s">
        <v>35</v>
      </c>
      <c r="E10" s="3" t="s">
        <v>22</v>
      </c>
      <c r="F10" s="7">
        <v>40</v>
      </c>
      <c r="G10" s="3" t="s">
        <v>23</v>
      </c>
      <c r="H10" s="3"/>
      <c r="I10" s="3" t="s">
        <v>144</v>
      </c>
      <c r="J10" s="3" t="s">
        <v>156</v>
      </c>
    </row>
    <row r="11" spans="1:10">
      <c r="A11" s="7">
        <v>10</v>
      </c>
      <c r="B11" s="3" t="s">
        <v>114</v>
      </c>
      <c r="C11" s="3" t="s">
        <v>110</v>
      </c>
      <c r="D11" s="3" t="s">
        <v>30</v>
      </c>
      <c r="E11" s="3" t="s">
        <v>22</v>
      </c>
      <c r="F11" s="7">
        <v>20</v>
      </c>
      <c r="G11" s="3" t="s">
        <v>23</v>
      </c>
      <c r="H11" s="3"/>
      <c r="I11" s="3" t="s">
        <v>152</v>
      </c>
      <c r="J11" s="3" t="s">
        <v>157</v>
      </c>
    </row>
    <row r="12" spans="1:10">
      <c r="A12" s="7">
        <v>11</v>
      </c>
      <c r="B12" s="3" t="s">
        <v>114</v>
      </c>
      <c r="C12" s="3" t="s">
        <v>110</v>
      </c>
      <c r="D12" s="3" t="s">
        <v>26</v>
      </c>
      <c r="E12" s="3" t="s">
        <v>22</v>
      </c>
      <c r="F12" s="3"/>
      <c r="G12" s="3" t="s">
        <v>23</v>
      </c>
      <c r="H12" s="3" t="s">
        <v>147</v>
      </c>
      <c r="I12" s="3" t="s">
        <v>149</v>
      </c>
      <c r="J12" s="3" t="s">
        <v>158</v>
      </c>
    </row>
    <row r="13" spans="1:10">
      <c r="A13" s="7">
        <v>12</v>
      </c>
      <c r="B13" s="3" t="s">
        <v>114</v>
      </c>
      <c r="C13" s="3" t="s">
        <v>110</v>
      </c>
      <c r="D13" s="3" t="s">
        <v>36</v>
      </c>
      <c r="E13" s="3" t="s">
        <v>37</v>
      </c>
      <c r="F13" s="7">
        <v>20</v>
      </c>
      <c r="G13" s="3" t="s">
        <v>23</v>
      </c>
      <c r="H13" s="3"/>
      <c r="I13" s="3" t="s">
        <v>159</v>
      </c>
      <c r="J13" s="3" t="s">
        <v>160</v>
      </c>
    </row>
    <row r="14" spans="1:10">
      <c r="A14" s="7">
        <v>13</v>
      </c>
      <c r="B14" s="3" t="s">
        <v>115</v>
      </c>
      <c r="C14" s="3" t="s">
        <v>110</v>
      </c>
      <c r="D14" s="3" t="s">
        <v>38</v>
      </c>
      <c r="E14" s="3" t="s">
        <v>37</v>
      </c>
      <c r="F14" s="7">
        <v>30</v>
      </c>
      <c r="G14" s="3" t="s">
        <v>23</v>
      </c>
      <c r="H14" s="3"/>
      <c r="I14" s="3" t="s">
        <v>159</v>
      </c>
      <c r="J14" s="3" t="s">
        <v>161</v>
      </c>
    </row>
    <row r="15" spans="1:10">
      <c r="A15" s="7">
        <v>14</v>
      </c>
      <c r="B15" s="3" t="s">
        <v>115</v>
      </c>
      <c r="C15" s="3" t="s">
        <v>110</v>
      </c>
      <c r="D15" s="3" t="s">
        <v>30</v>
      </c>
      <c r="E15" s="3" t="s">
        <v>22</v>
      </c>
      <c r="F15" s="7">
        <v>15</v>
      </c>
      <c r="G15" s="3" t="s">
        <v>23</v>
      </c>
      <c r="H15" s="3"/>
      <c r="I15" s="3" t="s">
        <v>152</v>
      </c>
      <c r="J15" s="3" t="s">
        <v>162</v>
      </c>
    </row>
    <row r="16" spans="1:10">
      <c r="A16" s="7">
        <v>15</v>
      </c>
      <c r="B16" s="3" t="s">
        <v>115</v>
      </c>
      <c r="C16" s="3" t="s">
        <v>110</v>
      </c>
      <c r="D16" s="3" t="s">
        <v>39</v>
      </c>
      <c r="E16" s="3" t="s">
        <v>22</v>
      </c>
      <c r="F16" s="7">
        <v>2</v>
      </c>
      <c r="G16" s="3" t="s">
        <v>32</v>
      </c>
      <c r="H16" s="3"/>
      <c r="I16" s="3" t="s">
        <v>149</v>
      </c>
      <c r="J16" s="3" t="s">
        <v>163</v>
      </c>
    </row>
    <row r="17" spans="1:10">
      <c r="A17" s="7">
        <v>16</v>
      </c>
      <c r="B17" s="3" t="s">
        <v>115</v>
      </c>
      <c r="C17" s="3" t="s">
        <v>110</v>
      </c>
      <c r="D17" s="3" t="s">
        <v>40</v>
      </c>
      <c r="E17" s="3" t="s">
        <v>22</v>
      </c>
      <c r="F17" s="7">
        <v>50</v>
      </c>
      <c r="G17" s="3" t="s">
        <v>23</v>
      </c>
      <c r="H17" s="3"/>
      <c r="I17" s="3" t="s">
        <v>149</v>
      </c>
      <c r="J17" s="3" t="s">
        <v>164</v>
      </c>
    </row>
    <row r="18" spans="1:10">
      <c r="A18" s="7">
        <v>17</v>
      </c>
      <c r="B18" s="3" t="s">
        <v>116</v>
      </c>
      <c r="C18" s="3" t="s">
        <v>110</v>
      </c>
      <c r="D18" s="3" t="s">
        <v>35</v>
      </c>
      <c r="E18" s="3" t="s">
        <v>22</v>
      </c>
      <c r="F18" s="7">
        <v>35</v>
      </c>
      <c r="G18" s="3" t="s">
        <v>23</v>
      </c>
      <c r="H18" s="3"/>
      <c r="I18" s="3" t="s">
        <v>144</v>
      </c>
      <c r="J18" s="3" t="s">
        <v>165</v>
      </c>
    </row>
    <row r="19" spans="1:10">
      <c r="A19" s="7">
        <v>18</v>
      </c>
      <c r="B19" s="3" t="s">
        <v>116</v>
      </c>
      <c r="C19" s="3" t="s">
        <v>110</v>
      </c>
      <c r="D19" s="3" t="s">
        <v>41</v>
      </c>
      <c r="E19" s="3" t="s">
        <v>37</v>
      </c>
      <c r="F19" s="7">
        <v>25</v>
      </c>
      <c r="G19" s="3" t="s">
        <v>23</v>
      </c>
      <c r="H19" s="3"/>
      <c r="I19" s="3" t="s">
        <v>159</v>
      </c>
      <c r="J19" s="3" t="s">
        <v>166</v>
      </c>
    </row>
    <row r="20" spans="1:10">
      <c r="A20" s="7">
        <v>19</v>
      </c>
      <c r="B20" s="3" t="s">
        <v>116</v>
      </c>
      <c r="C20" s="3" t="s">
        <v>110</v>
      </c>
      <c r="D20" s="3" t="s">
        <v>42</v>
      </c>
      <c r="E20" s="3" t="s">
        <v>22</v>
      </c>
      <c r="F20" s="7">
        <v>15</v>
      </c>
      <c r="G20" s="3" t="s">
        <v>23</v>
      </c>
      <c r="H20" s="3"/>
      <c r="I20" s="3" t="s">
        <v>144</v>
      </c>
      <c r="J20" s="3" t="s">
        <v>167</v>
      </c>
    </row>
    <row r="21" spans="1:10">
      <c r="A21" s="7">
        <v>20</v>
      </c>
      <c r="B21" s="3" t="s">
        <v>116</v>
      </c>
      <c r="C21" s="3" t="s">
        <v>110</v>
      </c>
      <c r="D21" s="3" t="s">
        <v>43</v>
      </c>
      <c r="E21" s="3" t="s">
        <v>22</v>
      </c>
      <c r="F21" s="7">
        <v>30</v>
      </c>
      <c r="G21" s="3" t="s">
        <v>23</v>
      </c>
      <c r="H21" s="3"/>
      <c r="I21" s="3" t="s">
        <v>144</v>
      </c>
      <c r="J21" s="3" t="s">
        <v>168</v>
      </c>
    </row>
    <row r="22" spans="1:10">
      <c r="A22" s="7">
        <v>21</v>
      </c>
      <c r="B22" s="3" t="s">
        <v>116</v>
      </c>
      <c r="C22" s="3" t="s">
        <v>110</v>
      </c>
      <c r="D22" s="3" t="s">
        <v>44</v>
      </c>
      <c r="E22" s="3" t="s">
        <v>22</v>
      </c>
      <c r="F22" s="7">
        <v>2</v>
      </c>
      <c r="G22" s="3" t="s">
        <v>32</v>
      </c>
      <c r="H22" s="3"/>
      <c r="I22" s="3" t="s">
        <v>149</v>
      </c>
      <c r="J22" s="3" t="s">
        <v>169</v>
      </c>
    </row>
    <row r="23" spans="1:10">
      <c r="A23" s="7">
        <v>22</v>
      </c>
      <c r="B23" s="3" t="s">
        <v>116</v>
      </c>
      <c r="C23" s="3" t="s">
        <v>110</v>
      </c>
      <c r="D23" s="3" t="s">
        <v>40</v>
      </c>
      <c r="E23" s="3" t="s">
        <v>22</v>
      </c>
      <c r="F23" s="3"/>
      <c r="G23" s="3" t="s">
        <v>23</v>
      </c>
      <c r="H23" s="3" t="s">
        <v>147</v>
      </c>
      <c r="I23" s="3" t="s">
        <v>149</v>
      </c>
      <c r="J23" s="3" t="s">
        <v>170</v>
      </c>
    </row>
    <row r="24" spans="1:10">
      <c r="A24" s="7">
        <v>23</v>
      </c>
      <c r="B24" s="3" t="s">
        <v>117</v>
      </c>
      <c r="C24" s="3" t="s">
        <v>110</v>
      </c>
      <c r="D24" s="3" t="s">
        <v>30</v>
      </c>
      <c r="E24" s="3" t="s">
        <v>22</v>
      </c>
      <c r="F24" s="7">
        <v>20</v>
      </c>
      <c r="G24" s="3" t="s">
        <v>23</v>
      </c>
      <c r="H24" s="3"/>
      <c r="I24" s="3" t="s">
        <v>152</v>
      </c>
      <c r="J24" s="3" t="s">
        <v>171</v>
      </c>
    </row>
    <row r="25" spans="1:10">
      <c r="A25" s="7">
        <v>24</v>
      </c>
      <c r="B25" s="3" t="s">
        <v>117</v>
      </c>
      <c r="C25" s="3" t="s">
        <v>110</v>
      </c>
      <c r="D25" s="3" t="s">
        <v>35</v>
      </c>
      <c r="E25" s="3" t="s">
        <v>22</v>
      </c>
      <c r="F25" s="7">
        <v>40</v>
      </c>
      <c r="G25" s="3" t="s">
        <v>23</v>
      </c>
      <c r="H25" s="3"/>
      <c r="I25" s="3" t="s">
        <v>144</v>
      </c>
      <c r="J25" s="3" t="s">
        <v>172</v>
      </c>
    </row>
    <row r="26" spans="1:10">
      <c r="A26" s="7">
        <v>25</v>
      </c>
      <c r="B26" s="3" t="s">
        <v>117</v>
      </c>
      <c r="C26" s="3" t="s">
        <v>110</v>
      </c>
      <c r="D26" s="3" t="s">
        <v>45</v>
      </c>
      <c r="E26" s="3" t="s">
        <v>22</v>
      </c>
      <c r="F26" s="7">
        <v>20</v>
      </c>
      <c r="G26" s="3" t="s">
        <v>23</v>
      </c>
      <c r="H26" s="3"/>
      <c r="I26" s="3" t="s">
        <v>68</v>
      </c>
      <c r="J26" s="3" t="s">
        <v>173</v>
      </c>
    </row>
    <row r="27" spans="1:10">
      <c r="A27" s="7">
        <v>26</v>
      </c>
      <c r="B27" s="3" t="s">
        <v>117</v>
      </c>
      <c r="C27" s="3" t="s">
        <v>110</v>
      </c>
      <c r="D27" s="3" t="s">
        <v>46</v>
      </c>
      <c r="E27" s="3" t="s">
        <v>22</v>
      </c>
      <c r="F27" s="7">
        <v>3</v>
      </c>
      <c r="G27" s="3" t="s">
        <v>32</v>
      </c>
      <c r="H27" s="3"/>
      <c r="I27" s="3" t="s">
        <v>149</v>
      </c>
      <c r="J27" s="3" t="s">
        <v>174</v>
      </c>
    </row>
    <row r="28" spans="1:10">
      <c r="A28" s="7">
        <v>27</v>
      </c>
      <c r="B28" s="3" t="s">
        <v>118</v>
      </c>
      <c r="C28" s="3" t="s">
        <v>110</v>
      </c>
      <c r="D28" s="3" t="s">
        <v>21</v>
      </c>
      <c r="E28" s="3" t="s">
        <v>22</v>
      </c>
      <c r="F28" s="7">
        <v>100</v>
      </c>
      <c r="G28" s="3" t="s">
        <v>23</v>
      </c>
      <c r="H28" s="3"/>
      <c r="I28" s="3" t="s">
        <v>144</v>
      </c>
      <c r="J28" s="3" t="s">
        <v>175</v>
      </c>
    </row>
    <row r="29" spans="1:10">
      <c r="A29" s="7">
        <v>28</v>
      </c>
      <c r="B29" s="3" t="s">
        <v>118</v>
      </c>
      <c r="C29" s="3" t="s">
        <v>110</v>
      </c>
      <c r="D29" s="3" t="s">
        <v>47</v>
      </c>
      <c r="E29" s="3" t="s">
        <v>37</v>
      </c>
      <c r="F29" s="7">
        <v>50</v>
      </c>
      <c r="G29" s="3" t="s">
        <v>23</v>
      </c>
      <c r="H29" s="3"/>
      <c r="I29" s="3" t="s">
        <v>159</v>
      </c>
      <c r="J29" s="3" t="s">
        <v>176</v>
      </c>
    </row>
    <row r="30" spans="1:10">
      <c r="A30" s="7">
        <v>29</v>
      </c>
      <c r="B30" s="3" t="s">
        <v>119</v>
      </c>
      <c r="C30" s="3" t="s">
        <v>110</v>
      </c>
      <c r="D30" s="3" t="s">
        <v>35</v>
      </c>
      <c r="E30" s="3" t="s">
        <v>22</v>
      </c>
      <c r="F30" s="7">
        <v>50</v>
      </c>
      <c r="G30" s="3" t="s">
        <v>23</v>
      </c>
      <c r="H30" s="3"/>
      <c r="I30" s="3" t="s">
        <v>144</v>
      </c>
      <c r="J30" s="3" t="s">
        <v>177</v>
      </c>
    </row>
    <row r="31" spans="1:10">
      <c r="A31" s="7">
        <v>30</v>
      </c>
      <c r="B31" s="3" t="s">
        <v>119</v>
      </c>
      <c r="C31" s="3" t="s">
        <v>110</v>
      </c>
      <c r="D31" s="3" t="s">
        <v>48</v>
      </c>
      <c r="E31" s="3" t="s">
        <v>22</v>
      </c>
      <c r="F31" s="7">
        <v>15</v>
      </c>
      <c r="G31" s="3" t="s">
        <v>23</v>
      </c>
      <c r="H31" s="3"/>
      <c r="I31" s="3" t="s">
        <v>144</v>
      </c>
      <c r="J31" s="3" t="s">
        <v>178</v>
      </c>
    </row>
    <row r="32" spans="1:10">
      <c r="A32" s="7">
        <v>31</v>
      </c>
      <c r="B32" s="3" t="s">
        <v>119</v>
      </c>
      <c r="C32" s="3" t="s">
        <v>110</v>
      </c>
      <c r="D32" s="3" t="s">
        <v>30</v>
      </c>
      <c r="E32" s="3" t="s">
        <v>22</v>
      </c>
      <c r="F32" s="7">
        <v>15</v>
      </c>
      <c r="G32" s="3" t="s">
        <v>23</v>
      </c>
      <c r="H32" s="3"/>
      <c r="I32" s="3" t="s">
        <v>152</v>
      </c>
      <c r="J32" s="3" t="s">
        <v>179</v>
      </c>
    </row>
    <row r="33" spans="1:10">
      <c r="A33" s="7">
        <v>32</v>
      </c>
      <c r="B33" s="3" t="s">
        <v>119</v>
      </c>
      <c r="C33" s="3" t="s">
        <v>110</v>
      </c>
      <c r="D33" s="3" t="s">
        <v>49</v>
      </c>
      <c r="E33" s="3" t="s">
        <v>37</v>
      </c>
      <c r="F33" s="7">
        <v>1</v>
      </c>
      <c r="G33" s="3"/>
      <c r="H33" s="3"/>
      <c r="I33" s="3" t="s">
        <v>159</v>
      </c>
      <c r="J33" s="3" t="s">
        <v>180</v>
      </c>
    </row>
    <row r="34" spans="1:10">
      <c r="A34" s="7">
        <v>33</v>
      </c>
      <c r="B34" s="3" t="s">
        <v>120</v>
      </c>
      <c r="C34" s="3" t="s">
        <v>110</v>
      </c>
      <c r="D34" s="3" t="s">
        <v>50</v>
      </c>
      <c r="E34" s="3" t="s">
        <v>37</v>
      </c>
      <c r="F34" s="7">
        <v>60</v>
      </c>
      <c r="G34" s="3"/>
      <c r="H34" s="3"/>
      <c r="I34" s="3" t="s">
        <v>159</v>
      </c>
      <c r="J34" s="3" t="s">
        <v>181</v>
      </c>
    </row>
    <row r="35" spans="1:10">
      <c r="A35" s="7">
        <v>34</v>
      </c>
      <c r="B35" s="3" t="s">
        <v>120</v>
      </c>
      <c r="C35" s="3" t="s">
        <v>110</v>
      </c>
      <c r="D35" s="3" t="s">
        <v>30</v>
      </c>
      <c r="E35" s="3" t="s">
        <v>22</v>
      </c>
      <c r="F35" s="7">
        <v>20</v>
      </c>
      <c r="G35" s="3" t="s">
        <v>23</v>
      </c>
      <c r="H35" s="3"/>
      <c r="I35" s="3" t="s">
        <v>152</v>
      </c>
      <c r="J35" s="3" t="s">
        <v>182</v>
      </c>
    </row>
    <row r="36" spans="1:10">
      <c r="A36" s="7">
        <v>35</v>
      </c>
      <c r="B36" s="3" t="s">
        <v>120</v>
      </c>
      <c r="C36" s="3" t="s">
        <v>110</v>
      </c>
      <c r="D36" s="3" t="s">
        <v>48</v>
      </c>
      <c r="E36" s="3" t="s">
        <v>22</v>
      </c>
      <c r="F36" s="7">
        <v>10</v>
      </c>
      <c r="G36" s="3" t="s">
        <v>23</v>
      </c>
      <c r="H36" s="3"/>
      <c r="I36" s="3" t="s">
        <v>144</v>
      </c>
      <c r="J36" s="3" t="s">
        <v>183</v>
      </c>
    </row>
    <row r="37" spans="1:10">
      <c r="A37" s="7">
        <v>36</v>
      </c>
      <c r="B37" s="3" t="s">
        <v>120</v>
      </c>
      <c r="C37" s="3" t="s">
        <v>110</v>
      </c>
      <c r="D37" s="3" t="s">
        <v>51</v>
      </c>
      <c r="E37" s="3" t="s">
        <v>22</v>
      </c>
      <c r="F37" s="7">
        <v>20</v>
      </c>
      <c r="G37" s="3" t="s">
        <v>23</v>
      </c>
      <c r="H37" s="3"/>
      <c r="I37" s="3" t="s">
        <v>149</v>
      </c>
      <c r="J37" s="3" t="s">
        <v>184</v>
      </c>
    </row>
    <row r="38" spans="1:10">
      <c r="A38" s="7">
        <v>37</v>
      </c>
      <c r="B38" s="3" t="s">
        <v>121</v>
      </c>
      <c r="C38" s="3" t="s">
        <v>110</v>
      </c>
      <c r="D38" s="3" t="s">
        <v>52</v>
      </c>
      <c r="E38" s="3" t="s">
        <v>22</v>
      </c>
      <c r="F38" s="7">
        <v>40</v>
      </c>
      <c r="G38" s="3" t="s">
        <v>23</v>
      </c>
      <c r="H38" s="3"/>
      <c r="I38" s="3" t="s">
        <v>144</v>
      </c>
      <c r="J38" s="3" t="s">
        <v>185</v>
      </c>
    </row>
    <row r="39" spans="1:10">
      <c r="A39" s="7">
        <v>38</v>
      </c>
      <c r="B39" s="3" t="s">
        <v>121</v>
      </c>
      <c r="C39" s="3" t="s">
        <v>110</v>
      </c>
      <c r="D39" s="3" t="s">
        <v>53</v>
      </c>
      <c r="E39" s="3" t="s">
        <v>37</v>
      </c>
      <c r="F39" s="7">
        <v>20</v>
      </c>
      <c r="G39" s="3"/>
      <c r="H39" s="3"/>
      <c r="I39" s="3" t="s">
        <v>159</v>
      </c>
      <c r="J39" s="3" t="s">
        <v>186</v>
      </c>
    </row>
    <row r="40" spans="1:10">
      <c r="A40" s="7">
        <v>39</v>
      </c>
      <c r="B40" s="3" t="s">
        <v>121</v>
      </c>
      <c r="C40" s="3" t="s">
        <v>110</v>
      </c>
      <c r="D40" s="3" t="s">
        <v>43</v>
      </c>
      <c r="E40" s="3" t="s">
        <v>22</v>
      </c>
      <c r="F40" s="7">
        <v>15</v>
      </c>
      <c r="G40" s="3" t="s">
        <v>23</v>
      </c>
      <c r="H40" s="3"/>
      <c r="I40" s="3" t="s">
        <v>144</v>
      </c>
      <c r="J40" s="3" t="s">
        <v>187</v>
      </c>
    </row>
    <row r="41" spans="1:10">
      <c r="A41" s="7">
        <v>40</v>
      </c>
      <c r="B41" s="3" t="s">
        <v>121</v>
      </c>
      <c r="C41" s="3" t="s">
        <v>110</v>
      </c>
      <c r="D41" s="3" t="s">
        <v>30</v>
      </c>
      <c r="E41" s="3" t="s">
        <v>22</v>
      </c>
      <c r="F41" s="7">
        <v>10</v>
      </c>
      <c r="G41" s="3" t="s">
        <v>23</v>
      </c>
      <c r="H41" s="3"/>
      <c r="I41" s="3" t="s">
        <v>152</v>
      </c>
      <c r="J41" s="3" t="s">
        <v>188</v>
      </c>
    </row>
    <row r="42" spans="1:10">
      <c r="A42" s="7">
        <v>41</v>
      </c>
      <c r="B42" s="3" t="s">
        <v>121</v>
      </c>
      <c r="C42" s="3" t="s">
        <v>110</v>
      </c>
      <c r="D42" s="3" t="s">
        <v>48</v>
      </c>
      <c r="E42" s="3" t="s">
        <v>22</v>
      </c>
      <c r="F42" s="7">
        <v>5</v>
      </c>
      <c r="G42" s="3" t="s">
        <v>23</v>
      </c>
      <c r="H42" s="3"/>
      <c r="I42" s="3" t="s">
        <v>144</v>
      </c>
      <c r="J42" s="3" t="s">
        <v>189</v>
      </c>
    </row>
    <row r="43" spans="1:10">
      <c r="A43" s="7">
        <v>42</v>
      </c>
      <c r="B43" s="3" t="s">
        <v>122</v>
      </c>
      <c r="C43" s="3" t="s">
        <v>110</v>
      </c>
      <c r="D43" s="3" t="s">
        <v>35</v>
      </c>
      <c r="E43" s="3" t="s">
        <v>22</v>
      </c>
      <c r="F43" s="7">
        <v>30</v>
      </c>
      <c r="G43" s="3" t="s">
        <v>23</v>
      </c>
      <c r="H43" s="3"/>
      <c r="I43" s="3" t="s">
        <v>144</v>
      </c>
      <c r="J43" s="3" t="s">
        <v>190</v>
      </c>
    </row>
    <row r="44" spans="1:10">
      <c r="A44" s="7">
        <v>43</v>
      </c>
      <c r="B44" s="3" t="s">
        <v>122</v>
      </c>
      <c r="C44" s="3" t="s">
        <v>110</v>
      </c>
      <c r="D44" s="3" t="s">
        <v>53</v>
      </c>
      <c r="E44" s="3" t="s">
        <v>37</v>
      </c>
      <c r="F44" s="7">
        <v>30</v>
      </c>
      <c r="G44" s="3"/>
      <c r="H44" s="3"/>
      <c r="I44" s="3" t="s">
        <v>159</v>
      </c>
      <c r="J44" s="3" t="s">
        <v>191</v>
      </c>
    </row>
    <row r="45" spans="1:10">
      <c r="A45" s="7">
        <v>44</v>
      </c>
      <c r="B45" s="3" t="s">
        <v>122</v>
      </c>
      <c r="C45" s="3" t="s">
        <v>110</v>
      </c>
      <c r="D45" s="3" t="s">
        <v>54</v>
      </c>
      <c r="E45" s="3" t="s">
        <v>22</v>
      </c>
      <c r="F45" s="7">
        <v>15</v>
      </c>
      <c r="G45" s="3" t="s">
        <v>23</v>
      </c>
      <c r="H45" s="3"/>
      <c r="I45" s="3" t="s">
        <v>144</v>
      </c>
      <c r="J45" s="3" t="s">
        <v>192</v>
      </c>
    </row>
    <row r="46" spans="1:10">
      <c r="A46" s="7">
        <v>45</v>
      </c>
      <c r="B46" s="3" t="s">
        <v>122</v>
      </c>
      <c r="C46" s="3" t="s">
        <v>110</v>
      </c>
      <c r="D46" s="3" t="s">
        <v>47</v>
      </c>
      <c r="E46" s="3" t="s">
        <v>37</v>
      </c>
      <c r="F46" s="7">
        <v>10</v>
      </c>
      <c r="G46" s="3" t="s">
        <v>23</v>
      </c>
      <c r="H46" s="3"/>
      <c r="I46" s="3" t="s">
        <v>159</v>
      </c>
      <c r="J46" s="3" t="s">
        <v>193</v>
      </c>
    </row>
    <row r="47" spans="1:10">
      <c r="A47" s="7">
        <v>46</v>
      </c>
      <c r="B47" s="3" t="s">
        <v>122</v>
      </c>
      <c r="C47" s="3" t="s">
        <v>110</v>
      </c>
      <c r="D47" s="3" t="s">
        <v>30</v>
      </c>
      <c r="E47" s="3" t="s">
        <v>22</v>
      </c>
      <c r="F47" s="7">
        <v>5</v>
      </c>
      <c r="G47" s="3" t="s">
        <v>23</v>
      </c>
      <c r="H47" s="3"/>
      <c r="I47" s="3" t="s">
        <v>152</v>
      </c>
      <c r="J47" s="3" t="s">
        <v>194</v>
      </c>
    </row>
    <row r="48" spans="1:10">
      <c r="A48" s="7">
        <v>47</v>
      </c>
      <c r="B48" s="3" t="s">
        <v>123</v>
      </c>
      <c r="C48" s="3" t="s">
        <v>110</v>
      </c>
      <c r="D48" s="3" t="s">
        <v>53</v>
      </c>
      <c r="E48" s="3" t="s">
        <v>37</v>
      </c>
      <c r="F48" s="7">
        <v>30</v>
      </c>
      <c r="G48" s="3"/>
      <c r="H48" s="3"/>
      <c r="I48" s="3" t="s">
        <v>159</v>
      </c>
      <c r="J48" s="3" t="s">
        <v>195</v>
      </c>
    </row>
    <row r="49" spans="1:10">
      <c r="A49" s="7">
        <v>48</v>
      </c>
      <c r="B49" s="3" t="s">
        <v>123</v>
      </c>
      <c r="C49" s="3" t="s">
        <v>110</v>
      </c>
      <c r="D49" s="3" t="s">
        <v>30</v>
      </c>
      <c r="E49" s="3" t="s">
        <v>22</v>
      </c>
      <c r="F49" s="7">
        <v>20</v>
      </c>
      <c r="G49" s="3" t="s">
        <v>23</v>
      </c>
      <c r="H49" s="3"/>
      <c r="I49" s="3" t="s">
        <v>152</v>
      </c>
      <c r="J49" s="3" t="s">
        <v>196</v>
      </c>
    </row>
    <row r="50" spans="1:10">
      <c r="A50" s="7">
        <v>49</v>
      </c>
      <c r="B50" s="3" t="s">
        <v>123</v>
      </c>
      <c r="C50" s="3" t="s">
        <v>110</v>
      </c>
      <c r="D50" s="3" t="s">
        <v>26</v>
      </c>
      <c r="E50" s="3" t="s">
        <v>22</v>
      </c>
      <c r="F50" s="7">
        <v>60</v>
      </c>
      <c r="G50" s="3" t="s">
        <v>23</v>
      </c>
      <c r="H50" s="3"/>
      <c r="I50" s="3" t="s">
        <v>149</v>
      </c>
      <c r="J50" s="3" t="s">
        <v>197</v>
      </c>
    </row>
    <row r="51" spans="1:10">
      <c r="A51" s="7">
        <v>50</v>
      </c>
      <c r="B51" s="3" t="s">
        <v>124</v>
      </c>
      <c r="C51" s="3" t="s">
        <v>125</v>
      </c>
      <c r="D51" s="3" t="s">
        <v>42</v>
      </c>
      <c r="E51" s="3" t="s">
        <v>22</v>
      </c>
      <c r="F51" s="7">
        <v>30</v>
      </c>
      <c r="G51" s="3" t="s">
        <v>23</v>
      </c>
      <c r="H51" s="3"/>
      <c r="I51" s="3" t="s">
        <v>144</v>
      </c>
      <c r="J51" s="3" t="s">
        <v>198</v>
      </c>
    </row>
    <row r="52" spans="1:10">
      <c r="A52" s="7">
        <v>51</v>
      </c>
      <c r="B52" s="3" t="s">
        <v>124</v>
      </c>
      <c r="C52" s="3" t="s">
        <v>125</v>
      </c>
      <c r="D52" s="3" t="s">
        <v>30</v>
      </c>
      <c r="E52" s="3" t="s">
        <v>22</v>
      </c>
      <c r="F52" s="7">
        <v>10</v>
      </c>
      <c r="G52" s="3" t="s">
        <v>23</v>
      </c>
      <c r="H52" s="3"/>
      <c r="I52" s="3" t="s">
        <v>152</v>
      </c>
      <c r="J52" s="3" t="s">
        <v>199</v>
      </c>
    </row>
    <row r="53" spans="1:10">
      <c r="A53" s="7">
        <v>52</v>
      </c>
      <c r="B53" s="3" t="s">
        <v>124</v>
      </c>
      <c r="C53" s="3" t="s">
        <v>125</v>
      </c>
      <c r="D53" s="3" t="s">
        <v>55</v>
      </c>
      <c r="E53" s="3" t="s">
        <v>22</v>
      </c>
      <c r="F53" s="7">
        <v>2</v>
      </c>
      <c r="G53" s="3"/>
      <c r="H53" s="3"/>
      <c r="I53" s="3" t="s">
        <v>149</v>
      </c>
      <c r="J53" s="3" t="s">
        <v>200</v>
      </c>
    </row>
    <row r="54" spans="1:10">
      <c r="A54" s="7">
        <v>53</v>
      </c>
      <c r="B54" s="3" t="s">
        <v>124</v>
      </c>
      <c r="C54" s="3" t="s">
        <v>125</v>
      </c>
      <c r="D54" s="3" t="s">
        <v>56</v>
      </c>
      <c r="E54" s="3" t="s">
        <v>22</v>
      </c>
      <c r="F54" s="7">
        <v>30</v>
      </c>
      <c r="G54" s="3" t="s">
        <v>23</v>
      </c>
      <c r="H54" s="3"/>
      <c r="I54" s="3" t="s">
        <v>144</v>
      </c>
      <c r="J54" s="3" t="s">
        <v>201</v>
      </c>
    </row>
    <row r="55" spans="1:10">
      <c r="A55" s="7">
        <v>54</v>
      </c>
      <c r="B55" s="3" t="s">
        <v>126</v>
      </c>
      <c r="C55" s="3" t="s">
        <v>125</v>
      </c>
      <c r="D55" s="3" t="s">
        <v>57</v>
      </c>
      <c r="E55" s="3" t="s">
        <v>37</v>
      </c>
      <c r="F55" s="7">
        <v>15</v>
      </c>
      <c r="G55" s="3" t="s">
        <v>23</v>
      </c>
      <c r="H55" s="3"/>
      <c r="I55" s="3" t="s">
        <v>159</v>
      </c>
      <c r="J55" s="3" t="s">
        <v>202</v>
      </c>
    </row>
    <row r="56" spans="1:10">
      <c r="A56" s="7">
        <v>55</v>
      </c>
      <c r="B56" s="3" t="s">
        <v>126</v>
      </c>
      <c r="C56" s="3" t="s">
        <v>125</v>
      </c>
      <c r="D56" s="3" t="s">
        <v>58</v>
      </c>
      <c r="E56" s="3" t="s">
        <v>22</v>
      </c>
      <c r="F56" s="7">
        <v>20</v>
      </c>
      <c r="G56" s="3" t="s">
        <v>23</v>
      </c>
      <c r="H56" s="3"/>
      <c r="I56" s="3" t="s">
        <v>144</v>
      </c>
      <c r="J56" s="3" t="s">
        <v>203</v>
      </c>
    </row>
    <row r="57" spans="1:10">
      <c r="A57" s="7">
        <v>56</v>
      </c>
      <c r="B57" s="3" t="s">
        <v>126</v>
      </c>
      <c r="C57" s="3" t="s">
        <v>125</v>
      </c>
      <c r="D57" s="3" t="s">
        <v>45</v>
      </c>
      <c r="E57" s="3" t="s">
        <v>22</v>
      </c>
      <c r="F57" s="7">
        <v>10</v>
      </c>
      <c r="G57" s="3" t="s">
        <v>23</v>
      </c>
      <c r="H57" s="3"/>
      <c r="I57" s="3" t="s">
        <v>68</v>
      </c>
      <c r="J57" s="3" t="s">
        <v>204</v>
      </c>
    </row>
    <row r="58" spans="1:10">
      <c r="A58" s="7">
        <v>57</v>
      </c>
      <c r="B58" s="3" t="s">
        <v>127</v>
      </c>
      <c r="C58" s="3" t="s">
        <v>125</v>
      </c>
      <c r="D58" s="3" t="s">
        <v>59</v>
      </c>
      <c r="E58" s="3" t="s">
        <v>22</v>
      </c>
      <c r="F58" s="7">
        <v>40</v>
      </c>
      <c r="G58" s="3" t="s">
        <v>23</v>
      </c>
      <c r="H58" s="3"/>
      <c r="I58" s="3" t="s">
        <v>144</v>
      </c>
      <c r="J58" s="3" t="s">
        <v>205</v>
      </c>
    </row>
    <row r="59" spans="1:10">
      <c r="A59" s="7">
        <v>58</v>
      </c>
      <c r="B59" s="3" t="s">
        <v>127</v>
      </c>
      <c r="C59" s="3" t="s">
        <v>125</v>
      </c>
      <c r="D59" s="3" t="s">
        <v>30</v>
      </c>
      <c r="E59" s="3" t="s">
        <v>22</v>
      </c>
      <c r="F59" s="7">
        <v>30</v>
      </c>
      <c r="G59" s="3" t="s">
        <v>23</v>
      </c>
      <c r="H59" s="3"/>
      <c r="I59" s="3" t="s">
        <v>152</v>
      </c>
      <c r="J59" s="3" t="s">
        <v>206</v>
      </c>
    </row>
    <row r="60" spans="1:10">
      <c r="A60" s="7">
        <v>59</v>
      </c>
      <c r="B60" s="3" t="s">
        <v>127</v>
      </c>
      <c r="C60" s="3" t="s">
        <v>125</v>
      </c>
      <c r="D60" s="3" t="s">
        <v>54</v>
      </c>
      <c r="E60" s="3" t="s">
        <v>22</v>
      </c>
      <c r="F60" s="7">
        <v>30</v>
      </c>
      <c r="G60" s="3" t="s">
        <v>23</v>
      </c>
      <c r="H60" s="3"/>
      <c r="I60" s="3" t="s">
        <v>144</v>
      </c>
      <c r="J60" s="3" t="s">
        <v>207</v>
      </c>
    </row>
    <row r="61" spans="1:10">
      <c r="A61" s="7">
        <v>60</v>
      </c>
      <c r="B61" s="3" t="s">
        <v>127</v>
      </c>
      <c r="C61" s="3" t="s">
        <v>125</v>
      </c>
      <c r="D61" s="3" t="s">
        <v>45</v>
      </c>
      <c r="E61" s="3" t="s">
        <v>22</v>
      </c>
      <c r="F61" s="7">
        <v>15</v>
      </c>
      <c r="G61" s="3" t="s">
        <v>23</v>
      </c>
      <c r="H61" s="3"/>
      <c r="I61" s="3" t="s">
        <v>68</v>
      </c>
      <c r="J61" s="3" t="s">
        <v>208</v>
      </c>
    </row>
    <row r="62" spans="1:10">
      <c r="A62" s="7">
        <v>61</v>
      </c>
      <c r="B62" s="3" t="s">
        <v>128</v>
      </c>
      <c r="C62" s="3" t="s">
        <v>125</v>
      </c>
      <c r="D62" s="3" t="s">
        <v>60</v>
      </c>
      <c r="E62" s="3" t="s">
        <v>22</v>
      </c>
      <c r="F62" s="7">
        <v>40</v>
      </c>
      <c r="G62" s="3" t="s">
        <v>23</v>
      </c>
      <c r="H62" s="3"/>
      <c r="I62" s="3" t="s">
        <v>144</v>
      </c>
      <c r="J62" s="3" t="s">
        <v>209</v>
      </c>
    </row>
    <row r="63" spans="1:10">
      <c r="A63" s="7">
        <v>62</v>
      </c>
      <c r="B63" s="3" t="s">
        <v>128</v>
      </c>
      <c r="C63" s="3" t="s">
        <v>125</v>
      </c>
      <c r="D63" s="3" t="s">
        <v>30</v>
      </c>
      <c r="E63" s="3" t="s">
        <v>22</v>
      </c>
      <c r="F63" s="7">
        <v>10</v>
      </c>
      <c r="G63" s="3" t="s">
        <v>23</v>
      </c>
      <c r="H63" s="3"/>
      <c r="I63" s="3" t="s">
        <v>152</v>
      </c>
      <c r="J63" s="3" t="s">
        <v>210</v>
      </c>
    </row>
    <row r="64" spans="1:10">
      <c r="A64" s="7">
        <v>63</v>
      </c>
      <c r="B64" s="3" t="s">
        <v>128</v>
      </c>
      <c r="C64" s="3" t="s">
        <v>125</v>
      </c>
      <c r="D64" s="3" t="s">
        <v>61</v>
      </c>
      <c r="E64" s="3" t="s">
        <v>22</v>
      </c>
      <c r="F64" s="7">
        <v>10</v>
      </c>
      <c r="G64" s="3" t="s">
        <v>23</v>
      </c>
      <c r="H64" s="3"/>
      <c r="I64" s="3"/>
      <c r="J64" s="3" t="s">
        <v>211</v>
      </c>
    </row>
    <row r="65" spans="1:10">
      <c r="A65" s="7">
        <v>64</v>
      </c>
      <c r="B65" s="3" t="s">
        <v>128</v>
      </c>
      <c r="C65" s="3" t="s">
        <v>125</v>
      </c>
      <c r="D65" s="3" t="s">
        <v>45</v>
      </c>
      <c r="E65" s="3" t="s">
        <v>22</v>
      </c>
      <c r="F65" s="7">
        <v>20</v>
      </c>
      <c r="G65" s="3" t="s">
        <v>23</v>
      </c>
      <c r="H65" s="3"/>
      <c r="I65" s="3" t="s">
        <v>68</v>
      </c>
      <c r="J65" s="3" t="s">
        <v>212</v>
      </c>
    </row>
    <row r="66" spans="1:10">
      <c r="A66" s="7">
        <v>65</v>
      </c>
      <c r="B66" s="3" t="s">
        <v>129</v>
      </c>
      <c r="C66" s="3" t="s">
        <v>125</v>
      </c>
      <c r="D66" s="3" t="s">
        <v>59</v>
      </c>
      <c r="E66" s="3" t="s">
        <v>22</v>
      </c>
      <c r="F66" s="7">
        <v>20</v>
      </c>
      <c r="G66" s="3" t="s">
        <v>23</v>
      </c>
      <c r="H66" s="3"/>
      <c r="I66" s="3" t="s">
        <v>144</v>
      </c>
      <c r="J66" s="3" t="s">
        <v>213</v>
      </c>
    </row>
    <row r="67" spans="1:10">
      <c r="A67" s="7">
        <v>66</v>
      </c>
      <c r="B67" s="3" t="s">
        <v>129</v>
      </c>
      <c r="C67" s="3" t="s">
        <v>125</v>
      </c>
      <c r="D67" s="3" t="s">
        <v>30</v>
      </c>
      <c r="E67" s="3" t="s">
        <v>22</v>
      </c>
      <c r="F67" s="7">
        <v>15</v>
      </c>
      <c r="G67" s="3" t="s">
        <v>23</v>
      </c>
      <c r="H67" s="3"/>
      <c r="I67" s="3" t="s">
        <v>152</v>
      </c>
      <c r="J67" s="3" t="s">
        <v>214</v>
      </c>
    </row>
    <row r="68" spans="1:10">
      <c r="A68" s="7">
        <v>67</v>
      </c>
      <c r="B68" s="3" t="s">
        <v>129</v>
      </c>
      <c r="C68" s="3" t="s">
        <v>125</v>
      </c>
      <c r="D68" s="3" t="s">
        <v>31</v>
      </c>
      <c r="E68" s="3" t="s">
        <v>22</v>
      </c>
      <c r="F68" s="7">
        <v>2</v>
      </c>
      <c r="G68" s="3" t="s">
        <v>32</v>
      </c>
      <c r="H68" s="3"/>
      <c r="I68" s="3" t="s">
        <v>149</v>
      </c>
      <c r="J68" s="3" t="s">
        <v>215</v>
      </c>
    </row>
    <row r="69" spans="1:10">
      <c r="A69" s="7">
        <v>68</v>
      </c>
      <c r="B69" s="3" t="s">
        <v>129</v>
      </c>
      <c r="C69" s="3" t="s">
        <v>125</v>
      </c>
      <c r="D69" s="3" t="s">
        <v>62</v>
      </c>
      <c r="E69" s="3" t="s">
        <v>22</v>
      </c>
      <c r="F69" s="7">
        <v>10</v>
      </c>
      <c r="G69" s="3" t="s">
        <v>23</v>
      </c>
      <c r="H69" s="3"/>
      <c r="I69" s="3" t="s">
        <v>159</v>
      </c>
      <c r="J69" s="3" t="s">
        <v>216</v>
      </c>
    </row>
    <row r="70" spans="1:10">
      <c r="A70" s="7">
        <v>69</v>
      </c>
      <c r="B70" s="3" t="s">
        <v>129</v>
      </c>
      <c r="C70" s="3" t="s">
        <v>125</v>
      </c>
      <c r="D70" s="3" t="s">
        <v>42</v>
      </c>
      <c r="E70" s="3" t="s">
        <v>22</v>
      </c>
      <c r="F70" s="7">
        <v>20</v>
      </c>
      <c r="G70" s="3" t="s">
        <v>23</v>
      </c>
      <c r="H70" s="3"/>
      <c r="I70" s="3" t="s">
        <v>144</v>
      </c>
      <c r="J70" s="3" t="s">
        <v>217</v>
      </c>
    </row>
    <row r="71" spans="1:10">
      <c r="A71" s="7">
        <v>70</v>
      </c>
      <c r="B71" s="3" t="s">
        <v>130</v>
      </c>
      <c r="C71" s="3" t="s">
        <v>131</v>
      </c>
      <c r="D71" s="3" t="s">
        <v>63</v>
      </c>
      <c r="E71" s="3" t="s">
        <v>22</v>
      </c>
      <c r="F71" s="7">
        <v>5</v>
      </c>
      <c r="G71" s="3" t="s">
        <v>64</v>
      </c>
      <c r="H71" s="3"/>
      <c r="I71" s="3" t="s">
        <v>149</v>
      </c>
      <c r="J71" s="3" t="s">
        <v>218</v>
      </c>
    </row>
    <row r="72" spans="1:10">
      <c r="A72" s="7">
        <v>71</v>
      </c>
      <c r="B72" s="3" t="s">
        <v>130</v>
      </c>
      <c r="C72" s="3" t="s">
        <v>131</v>
      </c>
      <c r="D72" s="3" t="s">
        <v>66</v>
      </c>
      <c r="E72" s="3" t="s">
        <v>22</v>
      </c>
      <c r="F72" s="7">
        <v>150</v>
      </c>
      <c r="G72" s="3" t="s">
        <v>23</v>
      </c>
      <c r="H72" s="3"/>
      <c r="I72" s="3"/>
      <c r="J72" s="3" t="s">
        <v>219</v>
      </c>
    </row>
    <row r="73" spans="1:10">
      <c r="A73" s="7">
        <v>72</v>
      </c>
      <c r="B73" s="3" t="s">
        <v>130</v>
      </c>
      <c r="C73" s="3" t="s">
        <v>131</v>
      </c>
      <c r="D73" s="3" t="s">
        <v>67</v>
      </c>
      <c r="E73" s="3" t="s">
        <v>22</v>
      </c>
      <c r="F73" s="7">
        <v>200</v>
      </c>
      <c r="G73" s="3" t="s">
        <v>64</v>
      </c>
      <c r="H73" s="3"/>
      <c r="I73" s="3" t="s">
        <v>149</v>
      </c>
      <c r="J73" s="3" t="s">
        <v>220</v>
      </c>
    </row>
    <row r="74" spans="1:10">
      <c r="A74" s="7">
        <v>73</v>
      </c>
      <c r="B74" s="3" t="s">
        <v>130</v>
      </c>
      <c r="C74" s="3" t="s">
        <v>131</v>
      </c>
      <c r="D74" s="3" t="s">
        <v>68</v>
      </c>
      <c r="E74" s="3" t="s">
        <v>22</v>
      </c>
      <c r="F74" s="7">
        <v>40</v>
      </c>
      <c r="G74" s="3" t="s">
        <v>64</v>
      </c>
      <c r="H74" s="3"/>
      <c r="I74" s="3" t="s">
        <v>68</v>
      </c>
      <c r="J74" s="3" t="s">
        <v>221</v>
      </c>
    </row>
    <row r="75" spans="1:10">
      <c r="A75" s="7">
        <v>74</v>
      </c>
      <c r="B75" s="3" t="s">
        <v>130</v>
      </c>
      <c r="C75" s="3" t="s">
        <v>131</v>
      </c>
      <c r="D75" s="3" t="s">
        <v>58</v>
      </c>
      <c r="E75" s="3" t="s">
        <v>22</v>
      </c>
      <c r="F75" s="7">
        <v>350</v>
      </c>
      <c r="G75" s="3" t="s">
        <v>23</v>
      </c>
      <c r="H75" s="3"/>
      <c r="I75" s="3" t="s">
        <v>144</v>
      </c>
      <c r="J75" s="3" t="s">
        <v>222</v>
      </c>
    </row>
    <row r="76" spans="1:10">
      <c r="A76" s="7">
        <v>75</v>
      </c>
      <c r="B76" s="3" t="s">
        <v>133</v>
      </c>
      <c r="C76" s="3" t="s">
        <v>131</v>
      </c>
      <c r="D76" s="3" t="s">
        <v>31</v>
      </c>
      <c r="E76" s="3" t="s">
        <v>22</v>
      </c>
      <c r="F76" s="7">
        <v>10</v>
      </c>
      <c r="G76" s="3" t="s">
        <v>32</v>
      </c>
      <c r="H76" s="3"/>
      <c r="I76" s="3" t="s">
        <v>149</v>
      </c>
      <c r="J76" s="3" t="s">
        <v>223</v>
      </c>
    </row>
    <row r="77" spans="1:10">
      <c r="A77" s="7">
        <v>76</v>
      </c>
      <c r="B77" s="3" t="s">
        <v>133</v>
      </c>
      <c r="C77" s="3" t="s">
        <v>131</v>
      </c>
      <c r="D77" s="3" t="s">
        <v>58</v>
      </c>
      <c r="E77" s="3" t="s">
        <v>22</v>
      </c>
      <c r="F77" s="7">
        <v>500</v>
      </c>
      <c r="G77" s="3" t="s">
        <v>23</v>
      </c>
      <c r="H77" s="3"/>
      <c r="I77" s="3" t="s">
        <v>144</v>
      </c>
      <c r="J77" s="3" t="s">
        <v>224</v>
      </c>
    </row>
    <row r="78" spans="1:10">
      <c r="A78" s="7">
        <v>77</v>
      </c>
      <c r="B78" s="3" t="s">
        <v>133</v>
      </c>
      <c r="C78" s="3" t="s">
        <v>131</v>
      </c>
      <c r="D78" s="3" t="s">
        <v>69</v>
      </c>
      <c r="E78" s="3" t="s">
        <v>22</v>
      </c>
      <c r="F78" s="7">
        <v>50</v>
      </c>
      <c r="G78" s="3" t="s">
        <v>64</v>
      </c>
      <c r="H78" s="3"/>
      <c r="I78" s="3" t="s">
        <v>149</v>
      </c>
      <c r="J78" s="3" t="s">
        <v>225</v>
      </c>
    </row>
    <row r="79" spans="1:10">
      <c r="A79" s="7">
        <v>78</v>
      </c>
      <c r="B79" s="3" t="s">
        <v>133</v>
      </c>
      <c r="C79" s="3" t="s">
        <v>131</v>
      </c>
      <c r="D79" s="3" t="s">
        <v>68</v>
      </c>
      <c r="E79" s="3" t="s">
        <v>22</v>
      </c>
      <c r="F79" s="7">
        <v>50</v>
      </c>
      <c r="G79" s="3" t="s">
        <v>64</v>
      </c>
      <c r="H79" s="3"/>
      <c r="I79" s="3" t="s">
        <v>68</v>
      </c>
      <c r="J79" s="3" t="s">
        <v>226</v>
      </c>
    </row>
    <row r="80" spans="1:10">
      <c r="A80" s="7">
        <v>79</v>
      </c>
      <c r="B80" s="3" t="s">
        <v>134</v>
      </c>
      <c r="C80" s="3" t="s">
        <v>131</v>
      </c>
      <c r="D80" s="3" t="s">
        <v>70</v>
      </c>
      <c r="E80" s="3" t="s">
        <v>22</v>
      </c>
      <c r="F80" s="7">
        <v>4</v>
      </c>
      <c r="G80" s="3" t="s">
        <v>64</v>
      </c>
      <c r="H80" s="3"/>
      <c r="I80" s="3" t="s">
        <v>149</v>
      </c>
      <c r="J80" s="3" t="s">
        <v>227</v>
      </c>
    </row>
    <row r="81" spans="1:10">
      <c r="A81" s="7">
        <v>80</v>
      </c>
      <c r="B81" s="3" t="s">
        <v>134</v>
      </c>
      <c r="C81" s="3" t="s">
        <v>131</v>
      </c>
      <c r="D81" s="3" t="s">
        <v>66</v>
      </c>
      <c r="E81" s="3" t="s">
        <v>22</v>
      </c>
      <c r="F81" s="7">
        <v>250</v>
      </c>
      <c r="G81" s="3" t="s">
        <v>23</v>
      </c>
      <c r="H81" s="3"/>
      <c r="I81" s="3"/>
      <c r="J81" s="3" t="s">
        <v>228</v>
      </c>
    </row>
    <row r="82" spans="1:10">
      <c r="A82" s="7">
        <v>81</v>
      </c>
      <c r="B82" s="3" t="s">
        <v>134</v>
      </c>
      <c r="C82" s="3" t="s">
        <v>131</v>
      </c>
      <c r="D82" s="3" t="s">
        <v>71</v>
      </c>
      <c r="E82" s="3" t="s">
        <v>22</v>
      </c>
      <c r="F82" s="7">
        <v>180</v>
      </c>
      <c r="G82" s="3" t="s">
        <v>64</v>
      </c>
      <c r="H82" s="3"/>
      <c r="I82" s="3" t="s">
        <v>149</v>
      </c>
      <c r="J82" s="3" t="s">
        <v>229</v>
      </c>
    </row>
    <row r="83" spans="1:10">
      <c r="A83" s="7">
        <v>82</v>
      </c>
      <c r="B83" s="3" t="s">
        <v>134</v>
      </c>
      <c r="C83" s="3" t="s">
        <v>131</v>
      </c>
      <c r="D83" s="3" t="s">
        <v>68</v>
      </c>
      <c r="E83" s="3" t="s">
        <v>22</v>
      </c>
      <c r="F83" s="7">
        <v>35</v>
      </c>
      <c r="G83" s="3" t="s">
        <v>64</v>
      </c>
      <c r="H83" s="3"/>
      <c r="I83" s="3" t="s">
        <v>68</v>
      </c>
      <c r="J83" s="3" t="s">
        <v>230</v>
      </c>
    </row>
    <row r="84" spans="1:10">
      <c r="A84" s="7">
        <v>83</v>
      </c>
      <c r="B84" s="3" t="s">
        <v>134</v>
      </c>
      <c r="C84" s="3" t="s">
        <v>131</v>
      </c>
      <c r="D84" s="3" t="s">
        <v>58</v>
      </c>
      <c r="E84" s="3" t="s">
        <v>22</v>
      </c>
      <c r="F84" s="7">
        <v>400</v>
      </c>
      <c r="G84" s="3" t="s">
        <v>23</v>
      </c>
      <c r="H84" s="3"/>
      <c r="I84" s="3" t="s">
        <v>144</v>
      </c>
      <c r="J84" s="3" t="s">
        <v>231</v>
      </c>
    </row>
    <row r="85" spans="1:10">
      <c r="A85" s="7">
        <v>84</v>
      </c>
      <c r="B85" s="3" t="s">
        <v>135</v>
      </c>
      <c r="C85" s="3" t="s">
        <v>131</v>
      </c>
      <c r="D85" s="3" t="s">
        <v>67</v>
      </c>
      <c r="E85" s="3" t="s">
        <v>22</v>
      </c>
      <c r="F85" s="7">
        <v>100</v>
      </c>
      <c r="G85" s="3" t="s">
        <v>64</v>
      </c>
      <c r="H85" s="3"/>
      <c r="I85" s="3" t="s">
        <v>149</v>
      </c>
      <c r="J85" s="3" t="s">
        <v>232</v>
      </c>
    </row>
    <row r="86" spans="1:10">
      <c r="A86" s="7">
        <v>85</v>
      </c>
      <c r="B86" s="3" t="s">
        <v>135</v>
      </c>
      <c r="C86" s="3" t="s">
        <v>131</v>
      </c>
      <c r="D86" s="3" t="s">
        <v>58</v>
      </c>
      <c r="E86" s="3" t="s">
        <v>22</v>
      </c>
      <c r="F86" s="7">
        <v>250</v>
      </c>
      <c r="G86" s="3" t="s">
        <v>23</v>
      </c>
      <c r="H86" s="3"/>
      <c r="I86" s="3" t="s">
        <v>144</v>
      </c>
      <c r="J86" s="3" t="s">
        <v>233</v>
      </c>
    </row>
    <row r="87" spans="1:10">
      <c r="A87" s="7">
        <v>86</v>
      </c>
      <c r="B87" s="3" t="s">
        <v>135</v>
      </c>
      <c r="C87" s="3" t="s">
        <v>131</v>
      </c>
      <c r="D87" s="3" t="s">
        <v>68</v>
      </c>
      <c r="E87" s="3" t="s">
        <v>22</v>
      </c>
      <c r="F87" s="7">
        <v>50</v>
      </c>
      <c r="G87" s="3" t="s">
        <v>64</v>
      </c>
      <c r="H87" s="3"/>
      <c r="I87" s="3" t="s">
        <v>68</v>
      </c>
      <c r="J87" s="3" t="s">
        <v>234</v>
      </c>
    </row>
    <row r="88" spans="1:10">
      <c r="A88" s="7">
        <v>87</v>
      </c>
      <c r="B88" s="3" t="s">
        <v>135</v>
      </c>
      <c r="C88" s="3" t="s">
        <v>131</v>
      </c>
      <c r="D88" s="3" t="s">
        <v>72</v>
      </c>
      <c r="E88" s="3" t="s">
        <v>22</v>
      </c>
      <c r="F88" s="7">
        <v>3</v>
      </c>
      <c r="G88" s="3" t="s">
        <v>64</v>
      </c>
      <c r="H88" s="3"/>
      <c r="I88" s="3" t="s">
        <v>149</v>
      </c>
      <c r="J88" s="3" t="s">
        <v>235</v>
      </c>
    </row>
    <row r="89" spans="1:10">
      <c r="A89" s="7">
        <v>88</v>
      </c>
      <c r="B89" s="3" t="s">
        <v>135</v>
      </c>
      <c r="C89" s="3" t="s">
        <v>131</v>
      </c>
      <c r="D89" s="3" t="s">
        <v>66</v>
      </c>
      <c r="E89" s="3" t="s">
        <v>22</v>
      </c>
      <c r="F89" s="7">
        <v>250</v>
      </c>
      <c r="G89" s="3" t="s">
        <v>23</v>
      </c>
      <c r="H89" s="3"/>
      <c r="I89" s="3"/>
      <c r="J89" s="3" t="s">
        <v>236</v>
      </c>
    </row>
    <row r="90" spans="1:10">
      <c r="A90" s="7">
        <v>89</v>
      </c>
      <c r="B90" s="3" t="s">
        <v>135</v>
      </c>
      <c r="C90" s="3" t="s">
        <v>131</v>
      </c>
      <c r="D90" s="3" t="s">
        <v>73</v>
      </c>
      <c r="E90" s="3" t="s">
        <v>22</v>
      </c>
      <c r="F90" s="7">
        <v>30</v>
      </c>
      <c r="G90" s="3" t="s">
        <v>23</v>
      </c>
      <c r="H90" s="3"/>
      <c r="I90" s="3" t="s">
        <v>149</v>
      </c>
      <c r="J90" s="3" t="s">
        <v>237</v>
      </c>
    </row>
    <row r="91" spans="1:10">
      <c r="A91" s="7">
        <v>90</v>
      </c>
      <c r="B91" s="3" t="s">
        <v>103</v>
      </c>
      <c r="C91" s="3" t="s">
        <v>37</v>
      </c>
      <c r="D91" s="3" t="s">
        <v>74</v>
      </c>
      <c r="E91" s="3" t="s">
        <v>22</v>
      </c>
      <c r="F91" s="7">
        <v>10</v>
      </c>
      <c r="G91" s="3" t="s">
        <v>64</v>
      </c>
      <c r="H91" s="3"/>
      <c r="I91" s="3" t="s">
        <v>149</v>
      </c>
      <c r="J91" s="3" t="s">
        <v>238</v>
      </c>
    </row>
    <row r="92" spans="1:10">
      <c r="A92" s="7">
        <v>91</v>
      </c>
      <c r="B92" s="3" t="s">
        <v>103</v>
      </c>
      <c r="C92" s="3" t="s">
        <v>37</v>
      </c>
      <c r="D92" s="3" t="s">
        <v>66</v>
      </c>
      <c r="E92" s="3" t="s">
        <v>22</v>
      </c>
      <c r="F92" s="7">
        <v>1000</v>
      </c>
      <c r="G92" s="3" t="s">
        <v>23</v>
      </c>
      <c r="H92" s="3"/>
      <c r="I92" s="3"/>
      <c r="J92" s="3" t="s">
        <v>239</v>
      </c>
    </row>
    <row r="93" spans="1:10">
      <c r="A93" s="7">
        <v>92</v>
      </c>
      <c r="B93" s="3" t="s">
        <v>103</v>
      </c>
      <c r="C93" s="3" t="s">
        <v>37</v>
      </c>
      <c r="D93" s="3" t="s">
        <v>75</v>
      </c>
      <c r="E93" s="3" t="s">
        <v>22</v>
      </c>
      <c r="F93" s="7">
        <v>2.5</v>
      </c>
      <c r="G93" s="3" t="s">
        <v>23</v>
      </c>
      <c r="H93" s="3"/>
      <c r="I93" s="3" t="s">
        <v>149</v>
      </c>
      <c r="J93" s="3" t="s">
        <v>240</v>
      </c>
    </row>
    <row r="94" spans="1:10">
      <c r="A94" s="7">
        <v>93</v>
      </c>
      <c r="B94" s="3" t="s">
        <v>103</v>
      </c>
      <c r="C94" s="3" t="s">
        <v>37</v>
      </c>
      <c r="D94" s="3" t="s">
        <v>76</v>
      </c>
      <c r="E94" s="3" t="s">
        <v>22</v>
      </c>
      <c r="F94" s="7">
        <v>0.3</v>
      </c>
      <c r="G94" s="3" t="s">
        <v>64</v>
      </c>
      <c r="H94" s="3"/>
      <c r="I94" s="3" t="s">
        <v>149</v>
      </c>
      <c r="J94" s="3" t="s">
        <v>241</v>
      </c>
    </row>
    <row r="95" spans="1:10">
      <c r="A95" s="7">
        <v>94</v>
      </c>
      <c r="B95" s="3" t="s">
        <v>103</v>
      </c>
      <c r="C95" s="3" t="s">
        <v>37</v>
      </c>
      <c r="D95" s="3" t="s">
        <v>77</v>
      </c>
      <c r="E95" s="3" t="s">
        <v>22</v>
      </c>
      <c r="F95" s="7">
        <v>1.5</v>
      </c>
      <c r="G95" s="3" t="s">
        <v>64</v>
      </c>
      <c r="H95" s="3"/>
      <c r="I95" s="3" t="s">
        <v>149</v>
      </c>
      <c r="J95" s="3" t="s">
        <v>242</v>
      </c>
    </row>
    <row r="96" spans="1:10">
      <c r="A96" s="7">
        <v>95</v>
      </c>
      <c r="B96" s="3" t="s">
        <v>36</v>
      </c>
      <c r="C96" s="3" t="s">
        <v>37</v>
      </c>
      <c r="D96" s="3" t="s">
        <v>67</v>
      </c>
      <c r="E96" s="3" t="s">
        <v>22</v>
      </c>
      <c r="F96" s="7">
        <v>140</v>
      </c>
      <c r="G96" s="3" t="s">
        <v>64</v>
      </c>
      <c r="H96" s="3"/>
      <c r="I96" s="3" t="s">
        <v>149</v>
      </c>
      <c r="J96" s="3" t="s">
        <v>243</v>
      </c>
    </row>
    <row r="97" spans="1:10">
      <c r="A97" s="7">
        <v>96</v>
      </c>
      <c r="B97" s="3" t="s">
        <v>36</v>
      </c>
      <c r="C97" s="3" t="s">
        <v>37</v>
      </c>
      <c r="D97" s="3" t="s">
        <v>78</v>
      </c>
      <c r="E97" s="3" t="s">
        <v>22</v>
      </c>
      <c r="F97" s="7">
        <v>140</v>
      </c>
      <c r="G97" s="3" t="s">
        <v>64</v>
      </c>
      <c r="H97" s="3"/>
      <c r="I97" s="3" t="s">
        <v>149</v>
      </c>
      <c r="J97" s="3" t="s">
        <v>244</v>
      </c>
    </row>
    <row r="98" spans="1:10">
      <c r="A98" s="7">
        <v>97</v>
      </c>
      <c r="B98" s="3" t="s">
        <v>38</v>
      </c>
      <c r="C98" s="3" t="s">
        <v>37</v>
      </c>
      <c r="D98" s="3" t="s">
        <v>79</v>
      </c>
      <c r="E98" s="3" t="s">
        <v>22</v>
      </c>
      <c r="F98" s="7">
        <v>1000</v>
      </c>
      <c r="G98" s="3" t="s">
        <v>64</v>
      </c>
      <c r="H98" s="3"/>
      <c r="I98" s="3" t="s">
        <v>149</v>
      </c>
      <c r="J98" s="3" t="s">
        <v>245</v>
      </c>
    </row>
    <row r="99" spans="1:10">
      <c r="A99" s="7">
        <v>98</v>
      </c>
      <c r="B99" s="3" t="s">
        <v>38</v>
      </c>
      <c r="C99" s="3" t="s">
        <v>37</v>
      </c>
      <c r="D99" s="3" t="s">
        <v>68</v>
      </c>
      <c r="E99" s="3" t="s">
        <v>22</v>
      </c>
      <c r="F99" s="3"/>
      <c r="G99" s="3" t="s">
        <v>64</v>
      </c>
      <c r="H99" s="3" t="s">
        <v>246</v>
      </c>
      <c r="I99" s="3" t="s">
        <v>68</v>
      </c>
      <c r="J99" s="3" t="s">
        <v>247</v>
      </c>
    </row>
    <row r="100" spans="1:10">
      <c r="A100" s="7">
        <v>99</v>
      </c>
      <c r="B100" s="3" t="s">
        <v>38</v>
      </c>
      <c r="C100" s="3" t="s">
        <v>37</v>
      </c>
      <c r="D100" s="3" t="s">
        <v>66</v>
      </c>
      <c r="E100" s="3" t="s">
        <v>22</v>
      </c>
      <c r="F100" s="3"/>
      <c r="G100" s="3" t="s">
        <v>23</v>
      </c>
      <c r="H100" s="3" t="s">
        <v>246</v>
      </c>
      <c r="I100" s="3"/>
      <c r="J100" s="3" t="s">
        <v>248</v>
      </c>
    </row>
    <row r="101" spans="1:10">
      <c r="A101" s="7">
        <v>100</v>
      </c>
      <c r="B101" s="3" t="s">
        <v>41</v>
      </c>
      <c r="C101" s="3" t="s">
        <v>37</v>
      </c>
      <c r="D101" s="3" t="s">
        <v>80</v>
      </c>
      <c r="E101" s="3" t="s">
        <v>22</v>
      </c>
      <c r="F101" s="7">
        <v>25</v>
      </c>
      <c r="G101" s="3"/>
      <c r="H101" s="3"/>
      <c r="I101" s="3" t="s">
        <v>149</v>
      </c>
      <c r="J101" s="3" t="s">
        <v>249</v>
      </c>
    </row>
    <row r="102" spans="1:10">
      <c r="A102" s="7">
        <v>101</v>
      </c>
      <c r="B102" s="3" t="s">
        <v>41</v>
      </c>
      <c r="C102" s="3" t="s">
        <v>37</v>
      </c>
      <c r="D102" s="3" t="s">
        <v>45</v>
      </c>
      <c r="E102" s="3" t="s">
        <v>22</v>
      </c>
      <c r="F102" s="7">
        <v>400</v>
      </c>
      <c r="G102" s="3" t="s">
        <v>23</v>
      </c>
      <c r="H102" s="3"/>
      <c r="I102" s="3" t="s">
        <v>68</v>
      </c>
      <c r="J102" s="3" t="s">
        <v>250</v>
      </c>
    </row>
    <row r="103" spans="1:10">
      <c r="A103" s="7">
        <v>102</v>
      </c>
      <c r="B103" s="3" t="s">
        <v>41</v>
      </c>
      <c r="C103" s="3" t="s">
        <v>37</v>
      </c>
      <c r="D103" s="3" t="s">
        <v>73</v>
      </c>
      <c r="E103" s="3" t="s">
        <v>22</v>
      </c>
      <c r="F103" s="7">
        <v>600</v>
      </c>
      <c r="G103" s="3" t="s">
        <v>23</v>
      </c>
      <c r="H103" s="3"/>
      <c r="I103" s="3" t="s">
        <v>149</v>
      </c>
      <c r="J103" s="3" t="s">
        <v>251</v>
      </c>
    </row>
    <row r="104" spans="1:10">
      <c r="A104" s="7">
        <v>103</v>
      </c>
      <c r="B104" s="3" t="s">
        <v>49</v>
      </c>
      <c r="C104" s="3" t="s">
        <v>37</v>
      </c>
      <c r="D104" s="3" t="s">
        <v>81</v>
      </c>
      <c r="E104" s="3" t="s">
        <v>22</v>
      </c>
      <c r="F104" s="7">
        <v>500</v>
      </c>
      <c r="G104" s="3" t="s">
        <v>64</v>
      </c>
      <c r="H104" s="3"/>
      <c r="I104" s="3" t="s">
        <v>149</v>
      </c>
      <c r="J104" s="3" t="s">
        <v>252</v>
      </c>
    </row>
    <row r="105" spans="1:10">
      <c r="A105" s="7">
        <v>104</v>
      </c>
      <c r="B105" s="3" t="s">
        <v>49</v>
      </c>
      <c r="C105" s="3" t="s">
        <v>37</v>
      </c>
      <c r="D105" s="3" t="s">
        <v>82</v>
      </c>
      <c r="E105" s="3" t="s">
        <v>22</v>
      </c>
      <c r="F105" s="7">
        <v>50</v>
      </c>
      <c r="G105" s="3" t="s">
        <v>64</v>
      </c>
      <c r="H105" s="3"/>
      <c r="I105" s="3" t="s">
        <v>149</v>
      </c>
      <c r="J105" s="3" t="s">
        <v>253</v>
      </c>
    </row>
    <row r="106" spans="1:10">
      <c r="A106" s="7">
        <v>105</v>
      </c>
      <c r="B106" s="3" t="s">
        <v>49</v>
      </c>
      <c r="C106" s="3" t="s">
        <v>37</v>
      </c>
      <c r="D106" s="3" t="s">
        <v>83</v>
      </c>
      <c r="E106" s="3" t="s">
        <v>22</v>
      </c>
      <c r="F106" s="7">
        <v>500</v>
      </c>
      <c r="G106" s="3" t="s">
        <v>23</v>
      </c>
      <c r="H106" s="3"/>
      <c r="I106" s="3" t="s">
        <v>149</v>
      </c>
      <c r="J106" s="3" t="s">
        <v>254</v>
      </c>
    </row>
    <row r="107" spans="1:10">
      <c r="A107" s="7">
        <v>106</v>
      </c>
      <c r="B107" s="3" t="s">
        <v>49</v>
      </c>
      <c r="C107" s="3" t="s">
        <v>37</v>
      </c>
      <c r="D107" s="3" t="s">
        <v>68</v>
      </c>
      <c r="E107" s="3" t="s">
        <v>22</v>
      </c>
      <c r="F107" s="7">
        <v>300</v>
      </c>
      <c r="G107" s="3" t="s">
        <v>64</v>
      </c>
      <c r="H107" s="3"/>
      <c r="I107" s="3" t="s">
        <v>68</v>
      </c>
      <c r="J107" s="3" t="s">
        <v>255</v>
      </c>
    </row>
    <row r="108" spans="1:10">
      <c r="A108" s="7">
        <v>107</v>
      </c>
      <c r="B108" s="3" t="s">
        <v>49</v>
      </c>
      <c r="C108" s="3" t="s">
        <v>37</v>
      </c>
      <c r="D108" s="3" t="s">
        <v>84</v>
      </c>
      <c r="E108" s="3" t="s">
        <v>22</v>
      </c>
      <c r="F108" s="7">
        <v>1</v>
      </c>
      <c r="G108" s="3" t="s">
        <v>64</v>
      </c>
      <c r="H108" s="3"/>
      <c r="I108" s="3" t="s">
        <v>149</v>
      </c>
      <c r="J108" s="3" t="s">
        <v>256</v>
      </c>
    </row>
    <row r="109" spans="1:10">
      <c r="A109" s="7">
        <v>108</v>
      </c>
      <c r="B109" s="3" t="s">
        <v>50</v>
      </c>
      <c r="C109" s="3" t="s">
        <v>37</v>
      </c>
      <c r="D109" s="3" t="s">
        <v>85</v>
      </c>
      <c r="E109" s="3" t="s">
        <v>22</v>
      </c>
      <c r="F109" s="7">
        <v>3</v>
      </c>
      <c r="G109" s="3" t="s">
        <v>86</v>
      </c>
      <c r="H109" s="3"/>
      <c r="I109" s="3" t="s">
        <v>149</v>
      </c>
      <c r="J109" s="3" t="s">
        <v>257</v>
      </c>
    </row>
    <row r="110" spans="1:10">
      <c r="A110" s="7">
        <v>109</v>
      </c>
      <c r="B110" s="3" t="s">
        <v>50</v>
      </c>
      <c r="C110" s="3" t="s">
        <v>37</v>
      </c>
      <c r="D110" s="3" t="s">
        <v>87</v>
      </c>
      <c r="E110" s="3" t="s">
        <v>22</v>
      </c>
      <c r="F110" s="7">
        <v>4</v>
      </c>
      <c r="G110" s="3" t="s">
        <v>86</v>
      </c>
      <c r="H110" s="3"/>
      <c r="I110" s="3" t="s">
        <v>149</v>
      </c>
      <c r="J110" s="3" t="s">
        <v>258</v>
      </c>
    </row>
    <row r="111" spans="1:10">
      <c r="A111" s="7">
        <v>110</v>
      </c>
      <c r="B111" s="3" t="s">
        <v>50</v>
      </c>
      <c r="C111" s="3" t="s">
        <v>37</v>
      </c>
      <c r="D111" s="3" t="s">
        <v>88</v>
      </c>
      <c r="E111" s="3" t="s">
        <v>22</v>
      </c>
      <c r="F111" s="7">
        <v>2</v>
      </c>
      <c r="G111" s="3" t="s">
        <v>86</v>
      </c>
      <c r="H111" s="3"/>
      <c r="I111" s="3" t="s">
        <v>149</v>
      </c>
      <c r="J111" s="3" t="s">
        <v>259</v>
      </c>
    </row>
    <row r="112" spans="1:10">
      <c r="A112" s="7">
        <v>111</v>
      </c>
      <c r="B112" s="3" t="s">
        <v>50</v>
      </c>
      <c r="C112" s="3" t="s">
        <v>37</v>
      </c>
      <c r="D112" s="3" t="s">
        <v>71</v>
      </c>
      <c r="E112" s="3" t="s">
        <v>22</v>
      </c>
      <c r="F112" s="7">
        <v>100</v>
      </c>
      <c r="G112" s="3" t="s">
        <v>64</v>
      </c>
      <c r="H112" s="3"/>
      <c r="I112" s="3" t="s">
        <v>149</v>
      </c>
      <c r="J112" s="3" t="s">
        <v>260</v>
      </c>
    </row>
    <row r="113" spans="1:10">
      <c r="A113" s="7">
        <v>112</v>
      </c>
      <c r="B113" s="3" t="s">
        <v>50</v>
      </c>
      <c r="C113" s="3" t="s">
        <v>37</v>
      </c>
      <c r="D113" s="3" t="s">
        <v>35</v>
      </c>
      <c r="E113" s="3" t="s">
        <v>22</v>
      </c>
      <c r="F113" s="7">
        <v>100</v>
      </c>
      <c r="G113" s="3" t="s">
        <v>23</v>
      </c>
      <c r="H113" s="3"/>
      <c r="I113" s="3" t="s">
        <v>144</v>
      </c>
      <c r="J113" s="3" t="s">
        <v>261</v>
      </c>
    </row>
    <row r="114" spans="1:10">
      <c r="A114" s="7">
        <v>113</v>
      </c>
      <c r="B114" s="3" t="s">
        <v>50</v>
      </c>
      <c r="C114" s="3" t="s">
        <v>37</v>
      </c>
      <c r="D114" s="3" t="s">
        <v>58</v>
      </c>
      <c r="E114" s="3" t="s">
        <v>22</v>
      </c>
      <c r="F114" s="7">
        <v>100</v>
      </c>
      <c r="G114" s="3" t="s">
        <v>23</v>
      </c>
      <c r="H114" s="3"/>
      <c r="I114" s="3" t="s">
        <v>144</v>
      </c>
      <c r="J114" s="3" t="s">
        <v>262</v>
      </c>
    </row>
    <row r="115" spans="1:10">
      <c r="A115" s="7">
        <v>114</v>
      </c>
      <c r="B115" s="3" t="s">
        <v>50</v>
      </c>
      <c r="C115" s="3" t="s">
        <v>37</v>
      </c>
      <c r="D115" s="3" t="s">
        <v>89</v>
      </c>
      <c r="E115" s="3" t="s">
        <v>22</v>
      </c>
      <c r="F115" s="7">
        <v>120</v>
      </c>
      <c r="G115" s="3" t="s">
        <v>23</v>
      </c>
      <c r="H115" s="3"/>
      <c r="I115" s="3" t="s">
        <v>144</v>
      </c>
      <c r="J115" s="3" t="s">
        <v>263</v>
      </c>
    </row>
    <row r="116" spans="1:10">
      <c r="A116" s="7">
        <v>115</v>
      </c>
      <c r="B116" s="3" t="s">
        <v>50</v>
      </c>
      <c r="C116" s="3" t="s">
        <v>37</v>
      </c>
      <c r="D116" s="3" t="s">
        <v>82</v>
      </c>
      <c r="E116" s="3" t="s">
        <v>22</v>
      </c>
      <c r="F116" s="7">
        <v>1</v>
      </c>
      <c r="G116" s="3" t="s">
        <v>64</v>
      </c>
      <c r="H116" s="3"/>
      <c r="I116" s="3" t="s">
        <v>149</v>
      </c>
      <c r="J116" s="3" t="s">
        <v>264</v>
      </c>
    </row>
    <row r="117" spans="1:10">
      <c r="A117" s="7">
        <v>116</v>
      </c>
      <c r="B117" s="3" t="s">
        <v>57</v>
      </c>
      <c r="C117" s="3" t="s">
        <v>37</v>
      </c>
      <c r="D117" s="3" t="s">
        <v>90</v>
      </c>
      <c r="E117" s="3" t="s">
        <v>22</v>
      </c>
      <c r="F117" s="7">
        <v>150</v>
      </c>
      <c r="G117" s="3" t="s">
        <v>64</v>
      </c>
      <c r="H117" s="3"/>
      <c r="I117" s="3" t="s">
        <v>149</v>
      </c>
      <c r="J117" s="3" t="s">
        <v>265</v>
      </c>
    </row>
    <row r="118" spans="1:10">
      <c r="A118" s="7">
        <v>117</v>
      </c>
      <c r="B118" s="3" t="s">
        <v>57</v>
      </c>
      <c r="C118" s="3" t="s">
        <v>37</v>
      </c>
      <c r="D118" s="3" t="s">
        <v>91</v>
      </c>
      <c r="E118" s="3" t="s">
        <v>22</v>
      </c>
      <c r="F118" s="7">
        <v>10</v>
      </c>
      <c r="G118" s="3" t="s">
        <v>64</v>
      </c>
      <c r="H118" s="3"/>
      <c r="I118" s="3" t="s">
        <v>149</v>
      </c>
      <c r="J118" s="3" t="s">
        <v>266</v>
      </c>
    </row>
    <row r="119" spans="1:10">
      <c r="A119" s="7">
        <v>118</v>
      </c>
      <c r="B119" s="3" t="s">
        <v>57</v>
      </c>
      <c r="C119" s="3" t="s">
        <v>37</v>
      </c>
      <c r="D119" s="3" t="s">
        <v>92</v>
      </c>
      <c r="E119" s="3" t="s">
        <v>22</v>
      </c>
      <c r="F119" s="7">
        <v>10</v>
      </c>
      <c r="G119" s="3" t="s">
        <v>64</v>
      </c>
      <c r="H119" s="3"/>
      <c r="I119" s="3" t="s">
        <v>149</v>
      </c>
      <c r="J119" s="3" t="s">
        <v>267</v>
      </c>
    </row>
    <row r="120" spans="1:10">
      <c r="A120" s="7">
        <v>119</v>
      </c>
      <c r="B120" s="3" t="s">
        <v>57</v>
      </c>
      <c r="C120" s="3" t="s">
        <v>37</v>
      </c>
      <c r="D120" s="3" t="s">
        <v>66</v>
      </c>
      <c r="E120" s="3" t="s">
        <v>22</v>
      </c>
      <c r="F120" s="7">
        <v>500</v>
      </c>
      <c r="G120" s="3" t="s">
        <v>23</v>
      </c>
      <c r="H120" s="3"/>
      <c r="I120" s="3"/>
      <c r="J120" s="3" t="s">
        <v>268</v>
      </c>
    </row>
    <row r="121" spans="1:10">
      <c r="A121" s="7">
        <v>120</v>
      </c>
      <c r="B121" s="3" t="s">
        <v>53</v>
      </c>
      <c r="C121" s="3" t="s">
        <v>37</v>
      </c>
      <c r="D121" s="3" t="s">
        <v>67</v>
      </c>
      <c r="E121" s="3" t="s">
        <v>22</v>
      </c>
      <c r="F121" s="7">
        <v>170</v>
      </c>
      <c r="G121" s="3" t="s">
        <v>64</v>
      </c>
      <c r="H121" s="3"/>
      <c r="I121" s="3" t="s">
        <v>149</v>
      </c>
      <c r="J121" s="3" t="s">
        <v>269</v>
      </c>
    </row>
    <row r="122" spans="1:10">
      <c r="A122" s="7">
        <v>121</v>
      </c>
      <c r="B122" s="3" t="s">
        <v>53</v>
      </c>
      <c r="C122" s="3" t="s">
        <v>37</v>
      </c>
      <c r="D122" s="3" t="s">
        <v>68</v>
      </c>
      <c r="E122" s="3" t="s">
        <v>22</v>
      </c>
      <c r="F122" s="7">
        <v>170</v>
      </c>
      <c r="G122" s="3" t="s">
        <v>64</v>
      </c>
      <c r="H122" s="3"/>
      <c r="I122" s="3" t="s">
        <v>68</v>
      </c>
      <c r="J122" s="3" t="s">
        <v>270</v>
      </c>
    </row>
    <row r="123" spans="1:10">
      <c r="A123" s="7">
        <v>122</v>
      </c>
      <c r="B123" s="3" t="s">
        <v>53</v>
      </c>
      <c r="C123" s="3" t="s">
        <v>37</v>
      </c>
      <c r="D123" s="3" t="s">
        <v>66</v>
      </c>
      <c r="E123" s="3" t="s">
        <v>22</v>
      </c>
      <c r="F123" s="7">
        <v>170</v>
      </c>
      <c r="G123" s="3" t="s">
        <v>23</v>
      </c>
      <c r="H123" s="3"/>
      <c r="I123" s="3"/>
      <c r="J123" s="3" t="s">
        <v>271</v>
      </c>
    </row>
    <row r="124" spans="1:10">
      <c r="A124" s="7">
        <v>123</v>
      </c>
      <c r="B124" s="3" t="s">
        <v>53</v>
      </c>
      <c r="C124" s="3" t="s">
        <v>37</v>
      </c>
      <c r="D124" s="3" t="s">
        <v>93</v>
      </c>
      <c r="E124" s="3" t="s">
        <v>22</v>
      </c>
      <c r="F124" s="7">
        <v>46082</v>
      </c>
      <c r="G124" s="3" t="s">
        <v>64</v>
      </c>
      <c r="H124" s="3"/>
      <c r="I124" s="3" t="s">
        <v>149</v>
      </c>
      <c r="J124" s="3" t="s">
        <v>272</v>
      </c>
    </row>
    <row r="125" spans="1:10">
      <c r="A125" s="7">
        <v>124</v>
      </c>
      <c r="B125" s="3" t="s">
        <v>53</v>
      </c>
      <c r="C125" s="3" t="s">
        <v>37</v>
      </c>
      <c r="D125" s="3" t="s">
        <v>94</v>
      </c>
      <c r="E125" s="3" t="s">
        <v>22</v>
      </c>
      <c r="F125" s="7">
        <v>15</v>
      </c>
      <c r="G125" s="3" t="s">
        <v>64</v>
      </c>
      <c r="H125" s="3"/>
      <c r="I125" s="3" t="s">
        <v>149</v>
      </c>
      <c r="J125" s="3" t="s">
        <v>273</v>
      </c>
    </row>
    <row r="126" spans="1:10">
      <c r="A126" s="7">
        <v>125</v>
      </c>
      <c r="B126" s="3" t="s">
        <v>53</v>
      </c>
      <c r="C126" s="3" t="s">
        <v>37</v>
      </c>
      <c r="D126" s="3" t="s">
        <v>95</v>
      </c>
      <c r="E126" s="3" t="s">
        <v>22</v>
      </c>
      <c r="F126" s="7">
        <v>0.8</v>
      </c>
      <c r="G126" s="3" t="s">
        <v>64</v>
      </c>
      <c r="H126" s="3"/>
      <c r="I126" s="3" t="s">
        <v>149</v>
      </c>
      <c r="J126" s="3" t="s">
        <v>274</v>
      </c>
    </row>
    <row r="127" spans="1:10">
      <c r="A127" s="7">
        <v>126</v>
      </c>
      <c r="B127" s="3" t="s">
        <v>53</v>
      </c>
      <c r="C127" s="3" t="s">
        <v>37</v>
      </c>
      <c r="D127" s="3" t="s">
        <v>96</v>
      </c>
      <c r="E127" s="3" t="s">
        <v>22</v>
      </c>
      <c r="F127" s="7">
        <v>2</v>
      </c>
      <c r="G127" s="3" t="s">
        <v>64</v>
      </c>
      <c r="H127" s="3"/>
      <c r="I127" s="3" t="s">
        <v>149</v>
      </c>
      <c r="J127" s="3" t="s">
        <v>275</v>
      </c>
    </row>
    <row r="128" spans="1:10">
      <c r="A128" s="7">
        <v>127</v>
      </c>
      <c r="B128" s="3" t="s">
        <v>53</v>
      </c>
      <c r="C128" s="3" t="s">
        <v>37</v>
      </c>
      <c r="D128" s="3" t="s">
        <v>97</v>
      </c>
      <c r="E128" s="3" t="s">
        <v>22</v>
      </c>
      <c r="F128" s="7">
        <v>100</v>
      </c>
      <c r="G128" s="3" t="s">
        <v>23</v>
      </c>
      <c r="H128" s="3"/>
      <c r="I128" s="3" t="s">
        <v>149</v>
      </c>
      <c r="J128" s="3" t="s">
        <v>276</v>
      </c>
    </row>
    <row r="129" spans="1:10">
      <c r="A129" s="7">
        <v>128</v>
      </c>
      <c r="B129" s="3" t="s">
        <v>53</v>
      </c>
      <c r="C129" s="3" t="s">
        <v>37</v>
      </c>
      <c r="D129" s="3" t="s">
        <v>58</v>
      </c>
      <c r="E129" s="3" t="s">
        <v>22</v>
      </c>
      <c r="F129" s="7">
        <v>25</v>
      </c>
      <c r="G129" s="3" t="s">
        <v>23</v>
      </c>
      <c r="H129" s="3"/>
      <c r="I129" s="3" t="s">
        <v>144</v>
      </c>
      <c r="J129" s="3" t="s">
        <v>277</v>
      </c>
    </row>
    <row r="130" spans="1:10">
      <c r="A130" s="7">
        <v>129</v>
      </c>
      <c r="B130" s="3" t="s">
        <v>47</v>
      </c>
      <c r="C130" s="3" t="s">
        <v>37</v>
      </c>
      <c r="D130" s="3" t="s">
        <v>98</v>
      </c>
      <c r="E130" s="3" t="s">
        <v>22</v>
      </c>
      <c r="F130" s="7">
        <v>300</v>
      </c>
      <c r="G130" s="3" t="s">
        <v>64</v>
      </c>
      <c r="H130" s="3"/>
      <c r="I130" s="3" t="s">
        <v>149</v>
      </c>
      <c r="J130" s="3" t="s">
        <v>278</v>
      </c>
    </row>
    <row r="131" spans="1:10">
      <c r="A131" s="7">
        <v>130</v>
      </c>
      <c r="B131" s="3" t="s">
        <v>47</v>
      </c>
      <c r="C131" s="3" t="s">
        <v>37</v>
      </c>
      <c r="D131" s="3" t="s">
        <v>45</v>
      </c>
      <c r="E131" s="3" t="s">
        <v>22</v>
      </c>
      <c r="F131" s="7">
        <v>100</v>
      </c>
      <c r="G131" s="3" t="s">
        <v>23</v>
      </c>
      <c r="H131" s="3"/>
      <c r="I131" s="3" t="s">
        <v>68</v>
      </c>
      <c r="J131" s="3" t="s">
        <v>279</v>
      </c>
    </row>
    <row r="132" spans="1:10">
      <c r="A132" s="7">
        <v>131</v>
      </c>
      <c r="B132" s="3" t="s">
        <v>47</v>
      </c>
      <c r="C132" s="3" t="s">
        <v>37</v>
      </c>
      <c r="D132" s="3" t="s">
        <v>99</v>
      </c>
      <c r="E132" s="3" t="s">
        <v>22</v>
      </c>
      <c r="F132" s="7">
        <v>60</v>
      </c>
      <c r="G132" s="3" t="s">
        <v>23</v>
      </c>
      <c r="H132" s="3"/>
      <c r="I132" s="3" t="s">
        <v>149</v>
      </c>
      <c r="J132" s="3" t="s">
        <v>280</v>
      </c>
    </row>
    <row r="133" spans="1:10">
      <c r="A133" s="7">
        <v>132</v>
      </c>
      <c r="B133" s="3" t="s">
        <v>47</v>
      </c>
      <c r="C133" s="3" t="s">
        <v>37</v>
      </c>
      <c r="D133" s="3" t="s">
        <v>100</v>
      </c>
      <c r="E133" s="3" t="s">
        <v>22</v>
      </c>
      <c r="F133" s="7">
        <v>10</v>
      </c>
      <c r="G133" s="3" t="s">
        <v>23</v>
      </c>
      <c r="H133" s="3"/>
      <c r="I133" s="3" t="s">
        <v>149</v>
      </c>
      <c r="J133" s="3" t="s">
        <v>281</v>
      </c>
    </row>
    <row r="134" spans="1:10">
      <c r="A134" s="7">
        <v>133</v>
      </c>
      <c r="B134" s="3" t="s">
        <v>47</v>
      </c>
      <c r="C134" s="3" t="s">
        <v>37</v>
      </c>
      <c r="D134" s="3" t="s">
        <v>101</v>
      </c>
      <c r="E134" s="3" t="s">
        <v>22</v>
      </c>
      <c r="F134" s="7">
        <v>10</v>
      </c>
      <c r="G134" s="3" t="s">
        <v>23</v>
      </c>
      <c r="H134" s="3"/>
      <c r="I134" s="3" t="s">
        <v>149</v>
      </c>
      <c r="J134" s="3" t="s">
        <v>282</v>
      </c>
    </row>
    <row r="135" spans="1:10">
      <c r="A135" s="7">
        <v>134</v>
      </c>
      <c r="B135" s="3" t="s">
        <v>47</v>
      </c>
      <c r="C135" s="3" t="s">
        <v>37</v>
      </c>
      <c r="D135" s="3" t="s">
        <v>102</v>
      </c>
      <c r="E135" s="3" t="s">
        <v>22</v>
      </c>
      <c r="F135" s="7">
        <v>30</v>
      </c>
      <c r="G135" s="3" t="s">
        <v>23</v>
      </c>
      <c r="H135" s="3"/>
      <c r="I135" s="3" t="s">
        <v>144</v>
      </c>
      <c r="J135" s="3" t="s">
        <v>283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4.7109375" customWidth="1"/>
    <col min="3" max="3" width="12.7109375" customWidth="1"/>
    <col min="4" max="6" width="16.7109375" customWidth="1"/>
    <col min="7" max="7" width="35.7109375" customWidth="1"/>
  </cols>
  <sheetData>
    <row r="1" spans="1:7">
      <c r="A1" t="s">
        <v>284</v>
      </c>
      <c r="B1" t="s">
        <v>14</v>
      </c>
      <c r="C1" t="s">
        <v>285</v>
      </c>
      <c r="D1" t="s">
        <v>286</v>
      </c>
      <c r="E1" t="s">
        <v>287</v>
      </c>
      <c r="F1" t="s">
        <v>288</v>
      </c>
      <c r="G1" t="s">
        <v>20</v>
      </c>
    </row>
    <row r="2" spans="1:7">
      <c r="A2" s="3" t="s">
        <v>109</v>
      </c>
      <c r="B2" s="3" t="s">
        <v>110</v>
      </c>
      <c r="C2" s="4" t="s">
        <v>289</v>
      </c>
      <c r="D2" s="4"/>
      <c r="E2" s="8">
        <f>IF(C2&lt;&gt;"Да",0,IF(B2="Коктейль",'00_Титул'!$B$5*'00_Титул'!$B$6/MAX(1,COUNTIFS($C:$C,"Да",$B:$B,"Коктейль")),IF(B2="Шот",'00_Титул'!$B$5*'00_Титул'!$B$7/MAX(1,COUNTIFS($C:$C,"Да",$B:$B,"Шот")),IF(B2="Настойка",'00_Титул'!$B$5*'00_Титул'!$B$8/MAX(1,COUNTIFS($C:$C,"Да",$B:$B,"Настойка")),0))))</f>
        <v>0</v>
      </c>
      <c r="F2" s="8">
        <f>IF(D2&lt;&gt;"",D2,E2)*(1+'00_Титул'!$B$9)</f>
        <v>0</v>
      </c>
      <c r="G2" s="3"/>
    </row>
    <row r="3" spans="1:7">
      <c r="A3" s="3" t="s">
        <v>113</v>
      </c>
      <c r="B3" s="3" t="s">
        <v>110</v>
      </c>
      <c r="C3" s="4" t="s">
        <v>289</v>
      </c>
      <c r="D3" s="4"/>
      <c r="E3" s="8">
        <f>IF(C3&lt;&gt;"Да",0,IF(B3="Коктейль",'00_Титул'!$B$5*'00_Титул'!$B$6/MAX(1,COUNTIFS($C:$C,"Да",$B:$B,"Коктейль")),IF(B3="Шот",'00_Титул'!$B$5*'00_Титул'!$B$7/MAX(1,COUNTIFS($C:$C,"Да",$B:$B,"Шот")),IF(B3="Настойка",'00_Титул'!$B$5*'00_Титул'!$B$8/MAX(1,COUNTIFS($C:$C,"Да",$B:$B,"Настойка")),0))))</f>
        <v>0</v>
      </c>
      <c r="F3" s="8">
        <f>IF(D3&lt;&gt;"",D3,E3)*(1+'00_Титул'!$B$9)</f>
        <v>0</v>
      </c>
      <c r="G3" s="3"/>
    </row>
    <row r="4" spans="1:7">
      <c r="A4" s="3" t="s">
        <v>114</v>
      </c>
      <c r="B4" s="3" t="s">
        <v>110</v>
      </c>
      <c r="C4" s="4" t="s">
        <v>289</v>
      </c>
      <c r="D4" s="4"/>
      <c r="E4" s="8">
        <f>IF(C4&lt;&gt;"Да",0,IF(B4="Коктейль",'00_Титул'!$B$5*'00_Титул'!$B$6/MAX(1,COUNTIFS($C:$C,"Да",$B:$B,"Коктейль")),IF(B4="Шот",'00_Титул'!$B$5*'00_Титул'!$B$7/MAX(1,COUNTIFS($C:$C,"Да",$B:$B,"Шот")),IF(B4="Настойка",'00_Титул'!$B$5*'00_Титул'!$B$8/MAX(1,COUNTIFS($C:$C,"Да",$B:$B,"Настойка")),0))))</f>
        <v>0</v>
      </c>
      <c r="F4" s="8">
        <f>IF(D4&lt;&gt;"",D4,E4)*(1+'00_Титул'!$B$9)</f>
        <v>0</v>
      </c>
      <c r="G4" s="3"/>
    </row>
    <row r="5" spans="1:7">
      <c r="A5" s="3" t="s">
        <v>115</v>
      </c>
      <c r="B5" s="3" t="s">
        <v>110</v>
      </c>
      <c r="C5" s="4" t="s">
        <v>289</v>
      </c>
      <c r="D5" s="4"/>
      <c r="E5" s="8">
        <f>IF(C5&lt;&gt;"Да",0,IF(B5="Коктейль",'00_Титул'!$B$5*'00_Титул'!$B$6/MAX(1,COUNTIFS($C:$C,"Да",$B:$B,"Коктейль")),IF(B5="Шот",'00_Титул'!$B$5*'00_Титул'!$B$7/MAX(1,COUNTIFS($C:$C,"Да",$B:$B,"Шот")),IF(B5="Настойка",'00_Титул'!$B$5*'00_Титул'!$B$8/MAX(1,COUNTIFS($C:$C,"Да",$B:$B,"Настойка")),0))))</f>
        <v>0</v>
      </c>
      <c r="F5" s="8">
        <f>IF(D5&lt;&gt;"",D5,E5)*(1+'00_Титул'!$B$9)</f>
        <v>0</v>
      </c>
      <c r="G5" s="3"/>
    </row>
    <row r="6" spans="1:7">
      <c r="A6" s="3" t="s">
        <v>116</v>
      </c>
      <c r="B6" s="3" t="s">
        <v>110</v>
      </c>
      <c r="C6" s="4" t="s">
        <v>289</v>
      </c>
      <c r="D6" s="4"/>
      <c r="E6" s="8">
        <f>IF(C6&lt;&gt;"Да",0,IF(B6="Коктейль",'00_Титул'!$B$5*'00_Титул'!$B$6/MAX(1,COUNTIFS($C:$C,"Да",$B:$B,"Коктейль")),IF(B6="Шот",'00_Титул'!$B$5*'00_Титул'!$B$7/MAX(1,COUNTIFS($C:$C,"Да",$B:$B,"Шот")),IF(B6="Настойка",'00_Титул'!$B$5*'00_Титул'!$B$8/MAX(1,COUNTIFS($C:$C,"Да",$B:$B,"Настойка")),0))))</f>
        <v>0</v>
      </c>
      <c r="F6" s="8">
        <f>IF(D6&lt;&gt;"",D6,E6)*(1+'00_Титул'!$B$9)</f>
        <v>0</v>
      </c>
      <c r="G6" s="3"/>
    </row>
    <row r="7" spans="1:7">
      <c r="A7" s="3" t="s">
        <v>117</v>
      </c>
      <c r="B7" s="3" t="s">
        <v>110</v>
      </c>
      <c r="C7" s="4" t="s">
        <v>289</v>
      </c>
      <c r="D7" s="4"/>
      <c r="E7" s="8">
        <f>IF(C7&lt;&gt;"Да",0,IF(B7="Коктейль",'00_Титул'!$B$5*'00_Титул'!$B$6/MAX(1,COUNTIFS($C:$C,"Да",$B:$B,"Коктейль")),IF(B7="Шот",'00_Титул'!$B$5*'00_Титул'!$B$7/MAX(1,COUNTIFS($C:$C,"Да",$B:$B,"Шот")),IF(B7="Настойка",'00_Титул'!$B$5*'00_Титул'!$B$8/MAX(1,COUNTIFS($C:$C,"Да",$B:$B,"Настойка")),0))))</f>
        <v>0</v>
      </c>
      <c r="F7" s="8">
        <f>IF(D7&lt;&gt;"",D7,E7)*(1+'00_Титул'!$B$9)</f>
        <v>0</v>
      </c>
      <c r="G7" s="3"/>
    </row>
    <row r="8" spans="1:7">
      <c r="A8" s="3" t="s">
        <v>118</v>
      </c>
      <c r="B8" s="3" t="s">
        <v>110</v>
      </c>
      <c r="C8" s="4" t="s">
        <v>289</v>
      </c>
      <c r="D8" s="4"/>
      <c r="E8" s="8">
        <f>IF(C8&lt;&gt;"Да",0,IF(B8="Коктейль",'00_Титул'!$B$5*'00_Титул'!$B$6/MAX(1,COUNTIFS($C:$C,"Да",$B:$B,"Коктейль")),IF(B8="Шот",'00_Титул'!$B$5*'00_Титул'!$B$7/MAX(1,COUNTIFS($C:$C,"Да",$B:$B,"Шот")),IF(B8="Настойка",'00_Титул'!$B$5*'00_Титул'!$B$8/MAX(1,COUNTIFS($C:$C,"Да",$B:$B,"Настойка")),0))))</f>
        <v>0</v>
      </c>
      <c r="F8" s="8">
        <f>IF(D8&lt;&gt;"",D8,E8)*(1+'00_Титул'!$B$9)</f>
        <v>0</v>
      </c>
      <c r="G8" s="3"/>
    </row>
    <row r="9" spans="1:7">
      <c r="A9" s="3" t="s">
        <v>119</v>
      </c>
      <c r="B9" s="3" t="s">
        <v>110</v>
      </c>
      <c r="C9" s="4" t="s">
        <v>289</v>
      </c>
      <c r="D9" s="4"/>
      <c r="E9" s="8">
        <f>IF(C9&lt;&gt;"Да",0,IF(B9="Коктейль",'00_Титул'!$B$5*'00_Титул'!$B$6/MAX(1,COUNTIFS($C:$C,"Да",$B:$B,"Коктейль")),IF(B9="Шот",'00_Титул'!$B$5*'00_Титул'!$B$7/MAX(1,COUNTIFS($C:$C,"Да",$B:$B,"Шот")),IF(B9="Настойка",'00_Титул'!$B$5*'00_Титул'!$B$8/MAX(1,COUNTIFS($C:$C,"Да",$B:$B,"Настойка")),0))))</f>
        <v>0</v>
      </c>
      <c r="F9" s="8">
        <f>IF(D9&lt;&gt;"",D9,E9)*(1+'00_Титул'!$B$9)</f>
        <v>0</v>
      </c>
      <c r="G9" s="3"/>
    </row>
    <row r="10" spans="1:7">
      <c r="A10" s="3" t="s">
        <v>120</v>
      </c>
      <c r="B10" s="3" t="s">
        <v>110</v>
      </c>
      <c r="C10" s="4" t="s">
        <v>289</v>
      </c>
      <c r="D10" s="4"/>
      <c r="E10" s="8">
        <f>IF(C10&lt;&gt;"Да",0,IF(B10="Коктейль",'00_Титул'!$B$5*'00_Титул'!$B$6/MAX(1,COUNTIFS($C:$C,"Да",$B:$B,"Коктейль")),IF(B10="Шот",'00_Титул'!$B$5*'00_Титул'!$B$7/MAX(1,COUNTIFS($C:$C,"Да",$B:$B,"Шот")),IF(B10="Настойка",'00_Титул'!$B$5*'00_Титул'!$B$8/MAX(1,COUNTIFS($C:$C,"Да",$B:$B,"Настойка")),0))))</f>
        <v>0</v>
      </c>
      <c r="F10" s="8">
        <f>IF(D10&lt;&gt;"",D10,E10)*(1+'00_Титул'!$B$9)</f>
        <v>0</v>
      </c>
      <c r="G10" s="3"/>
    </row>
    <row r="11" spans="1:7">
      <c r="A11" s="3" t="s">
        <v>121</v>
      </c>
      <c r="B11" s="3" t="s">
        <v>110</v>
      </c>
      <c r="C11" s="4" t="s">
        <v>289</v>
      </c>
      <c r="D11" s="4"/>
      <c r="E11" s="8">
        <f>IF(C11&lt;&gt;"Да",0,IF(B11="Коктейль",'00_Титул'!$B$5*'00_Титул'!$B$6/MAX(1,COUNTIFS($C:$C,"Да",$B:$B,"Коктейль")),IF(B11="Шот",'00_Титул'!$B$5*'00_Титул'!$B$7/MAX(1,COUNTIFS($C:$C,"Да",$B:$B,"Шот")),IF(B11="Настойка",'00_Титул'!$B$5*'00_Титул'!$B$8/MAX(1,COUNTIFS($C:$C,"Да",$B:$B,"Настойка")),0))))</f>
        <v>0</v>
      </c>
      <c r="F11" s="8">
        <f>IF(D11&lt;&gt;"",D11,E11)*(1+'00_Титул'!$B$9)</f>
        <v>0</v>
      </c>
      <c r="G11" s="3"/>
    </row>
    <row r="12" spans="1:7">
      <c r="A12" s="3" t="s">
        <v>122</v>
      </c>
      <c r="B12" s="3" t="s">
        <v>110</v>
      </c>
      <c r="C12" s="4" t="s">
        <v>289</v>
      </c>
      <c r="D12" s="4"/>
      <c r="E12" s="8">
        <f>IF(C12&lt;&gt;"Да",0,IF(B12="Коктейль",'00_Титул'!$B$5*'00_Титул'!$B$6/MAX(1,COUNTIFS($C:$C,"Да",$B:$B,"Коктейль")),IF(B12="Шот",'00_Титул'!$B$5*'00_Титул'!$B$7/MAX(1,COUNTIFS($C:$C,"Да",$B:$B,"Шот")),IF(B12="Настойка",'00_Титул'!$B$5*'00_Титул'!$B$8/MAX(1,COUNTIFS($C:$C,"Да",$B:$B,"Настойка")),0))))</f>
        <v>0</v>
      </c>
      <c r="F12" s="8">
        <f>IF(D12&lt;&gt;"",D12,E12)*(1+'00_Титул'!$B$9)</f>
        <v>0</v>
      </c>
      <c r="G12" s="3"/>
    </row>
    <row r="13" spans="1:7">
      <c r="A13" s="3" t="s">
        <v>123</v>
      </c>
      <c r="B13" s="3" t="s">
        <v>110</v>
      </c>
      <c r="C13" s="4" t="s">
        <v>289</v>
      </c>
      <c r="D13" s="4"/>
      <c r="E13" s="8">
        <f>IF(C13&lt;&gt;"Да",0,IF(B13="Коктейль",'00_Титул'!$B$5*'00_Титул'!$B$6/MAX(1,COUNTIFS($C:$C,"Да",$B:$B,"Коктейль")),IF(B13="Шот",'00_Титул'!$B$5*'00_Титул'!$B$7/MAX(1,COUNTIFS($C:$C,"Да",$B:$B,"Шот")),IF(B13="Настойка",'00_Титул'!$B$5*'00_Титул'!$B$8/MAX(1,COUNTIFS($C:$C,"Да",$B:$B,"Настойка")),0))))</f>
        <v>0</v>
      </c>
      <c r="F13" s="8">
        <f>IF(D13&lt;&gt;"",D13,E13)*(1+'00_Титул'!$B$9)</f>
        <v>0</v>
      </c>
      <c r="G13" s="3"/>
    </row>
    <row r="14" spans="1:7">
      <c r="A14" s="3" t="s">
        <v>124</v>
      </c>
      <c r="B14" s="3" t="s">
        <v>125</v>
      </c>
      <c r="C14" s="4" t="s">
        <v>289</v>
      </c>
      <c r="D14" s="4"/>
      <c r="E14" s="8">
        <f>IF(C14&lt;&gt;"Да",0,IF(B14="Коктейль",'00_Титул'!$B$5*'00_Титул'!$B$6/MAX(1,COUNTIFS($C:$C,"Да",$B:$B,"Коктейль")),IF(B14="Шот",'00_Титул'!$B$5*'00_Титул'!$B$7/MAX(1,COUNTIFS($C:$C,"Да",$B:$B,"Шот")),IF(B14="Настойка",'00_Титул'!$B$5*'00_Титул'!$B$8/MAX(1,COUNTIFS($C:$C,"Да",$B:$B,"Настойка")),0))))</f>
        <v>0</v>
      </c>
      <c r="F14" s="8">
        <f>IF(D14&lt;&gt;"",D14,E14)*(1+'00_Титул'!$B$9)</f>
        <v>0</v>
      </c>
      <c r="G14" s="3"/>
    </row>
    <row r="15" spans="1:7">
      <c r="A15" s="3" t="s">
        <v>126</v>
      </c>
      <c r="B15" s="3" t="s">
        <v>125</v>
      </c>
      <c r="C15" s="4" t="s">
        <v>289</v>
      </c>
      <c r="D15" s="4"/>
      <c r="E15" s="8">
        <f>IF(C15&lt;&gt;"Да",0,IF(B15="Коктейль",'00_Титул'!$B$5*'00_Титул'!$B$6/MAX(1,COUNTIFS($C:$C,"Да",$B:$B,"Коктейль")),IF(B15="Шот",'00_Титул'!$B$5*'00_Титул'!$B$7/MAX(1,COUNTIFS($C:$C,"Да",$B:$B,"Шот")),IF(B15="Настойка",'00_Титул'!$B$5*'00_Титул'!$B$8/MAX(1,COUNTIFS($C:$C,"Да",$B:$B,"Настойка")),0))))</f>
        <v>0</v>
      </c>
      <c r="F15" s="8">
        <f>IF(D15&lt;&gt;"",D15,E15)*(1+'00_Титул'!$B$9)</f>
        <v>0</v>
      </c>
      <c r="G15" s="3"/>
    </row>
    <row r="16" spans="1:7">
      <c r="A16" s="3" t="s">
        <v>127</v>
      </c>
      <c r="B16" s="3" t="s">
        <v>125</v>
      </c>
      <c r="C16" s="4" t="s">
        <v>289</v>
      </c>
      <c r="D16" s="4"/>
      <c r="E16" s="8">
        <f>IF(C16&lt;&gt;"Да",0,IF(B16="Коктейль",'00_Титул'!$B$5*'00_Титул'!$B$6/MAX(1,COUNTIFS($C:$C,"Да",$B:$B,"Коктейль")),IF(B16="Шот",'00_Титул'!$B$5*'00_Титул'!$B$7/MAX(1,COUNTIFS($C:$C,"Да",$B:$B,"Шот")),IF(B16="Настойка",'00_Титул'!$B$5*'00_Титул'!$B$8/MAX(1,COUNTIFS($C:$C,"Да",$B:$B,"Настойка")),0))))</f>
        <v>0</v>
      </c>
      <c r="F16" s="8">
        <f>IF(D16&lt;&gt;"",D16,E16)*(1+'00_Титул'!$B$9)</f>
        <v>0</v>
      </c>
      <c r="G16" s="3"/>
    </row>
    <row r="17" spans="1:7">
      <c r="A17" s="3" t="s">
        <v>128</v>
      </c>
      <c r="B17" s="3" t="s">
        <v>125</v>
      </c>
      <c r="C17" s="4" t="s">
        <v>289</v>
      </c>
      <c r="D17" s="4"/>
      <c r="E17" s="8">
        <f>IF(C17&lt;&gt;"Да",0,IF(B17="Коктейль",'00_Титул'!$B$5*'00_Титул'!$B$6/MAX(1,COUNTIFS($C:$C,"Да",$B:$B,"Коктейль")),IF(B17="Шот",'00_Титул'!$B$5*'00_Титул'!$B$7/MAX(1,COUNTIFS($C:$C,"Да",$B:$B,"Шот")),IF(B17="Настойка",'00_Титул'!$B$5*'00_Титул'!$B$8/MAX(1,COUNTIFS($C:$C,"Да",$B:$B,"Настойка")),0))))</f>
        <v>0</v>
      </c>
      <c r="F17" s="8">
        <f>IF(D17&lt;&gt;"",D17,E17)*(1+'00_Титул'!$B$9)</f>
        <v>0</v>
      </c>
      <c r="G17" s="3"/>
    </row>
    <row r="18" spans="1:7">
      <c r="A18" s="3" t="s">
        <v>129</v>
      </c>
      <c r="B18" s="3" t="s">
        <v>125</v>
      </c>
      <c r="C18" s="4" t="s">
        <v>289</v>
      </c>
      <c r="D18" s="4"/>
      <c r="E18" s="8">
        <f>IF(C18&lt;&gt;"Да",0,IF(B18="Коктейль",'00_Титул'!$B$5*'00_Титул'!$B$6/MAX(1,COUNTIFS($C:$C,"Да",$B:$B,"Коктейль")),IF(B18="Шот",'00_Титул'!$B$5*'00_Титул'!$B$7/MAX(1,COUNTIFS($C:$C,"Да",$B:$B,"Шот")),IF(B18="Настойка",'00_Титул'!$B$5*'00_Титул'!$B$8/MAX(1,COUNTIFS($C:$C,"Да",$B:$B,"Настойка")),0))))</f>
        <v>0</v>
      </c>
      <c r="F18" s="8">
        <f>IF(D18&lt;&gt;"",D18,E18)*(1+'00_Титул'!$B$9)</f>
        <v>0</v>
      </c>
      <c r="G18" s="3"/>
    </row>
    <row r="19" spans="1:7">
      <c r="A19" s="3" t="s">
        <v>130</v>
      </c>
      <c r="B19" s="3" t="s">
        <v>131</v>
      </c>
      <c r="C19" s="4" t="s">
        <v>289</v>
      </c>
      <c r="D19" s="4"/>
      <c r="E19" s="8">
        <f>IF(C19&lt;&gt;"Да",0,IF(B19="Коктейль",'00_Титул'!$B$5*'00_Титул'!$B$6/MAX(1,COUNTIFS($C:$C,"Да",$B:$B,"Коктейль")),IF(B19="Шот",'00_Титул'!$B$5*'00_Титул'!$B$7/MAX(1,COUNTIFS($C:$C,"Да",$B:$B,"Шот")),IF(B19="Настойка",'00_Титул'!$B$5*'00_Титул'!$B$8/MAX(1,COUNTIFS($C:$C,"Да",$B:$B,"Настойка")),0))))</f>
        <v>0</v>
      </c>
      <c r="F19" s="8">
        <f>IF(D19&lt;&gt;"",D19,E19)*(1+'00_Титул'!$B$9)</f>
        <v>0</v>
      </c>
      <c r="G19" s="3"/>
    </row>
    <row r="20" spans="1:7">
      <c r="A20" s="3" t="s">
        <v>133</v>
      </c>
      <c r="B20" s="3" t="s">
        <v>131</v>
      </c>
      <c r="C20" s="4" t="s">
        <v>289</v>
      </c>
      <c r="D20" s="4"/>
      <c r="E20" s="8">
        <f>IF(C20&lt;&gt;"Да",0,IF(B20="Коктейль",'00_Титул'!$B$5*'00_Титул'!$B$6/MAX(1,COUNTIFS($C:$C,"Да",$B:$B,"Коктейль")),IF(B20="Шот",'00_Титул'!$B$5*'00_Титул'!$B$7/MAX(1,COUNTIFS($C:$C,"Да",$B:$B,"Шот")),IF(B20="Настойка",'00_Титул'!$B$5*'00_Титул'!$B$8/MAX(1,COUNTIFS($C:$C,"Да",$B:$B,"Настойка")),0))))</f>
        <v>0</v>
      </c>
      <c r="F20" s="8">
        <f>IF(D20&lt;&gt;"",D20,E20)*(1+'00_Титул'!$B$9)</f>
        <v>0</v>
      </c>
      <c r="G20" s="3"/>
    </row>
    <row r="21" spans="1:7">
      <c r="A21" s="3" t="s">
        <v>134</v>
      </c>
      <c r="B21" s="3" t="s">
        <v>131</v>
      </c>
      <c r="C21" s="4" t="s">
        <v>289</v>
      </c>
      <c r="D21" s="4"/>
      <c r="E21" s="8">
        <f>IF(C21&lt;&gt;"Да",0,IF(B21="Коктейль",'00_Титул'!$B$5*'00_Титул'!$B$6/MAX(1,COUNTIFS($C:$C,"Да",$B:$B,"Коктейль")),IF(B21="Шот",'00_Титул'!$B$5*'00_Титул'!$B$7/MAX(1,COUNTIFS($C:$C,"Да",$B:$B,"Шот")),IF(B21="Настойка",'00_Титул'!$B$5*'00_Титул'!$B$8/MAX(1,COUNTIFS($C:$C,"Да",$B:$B,"Настойка")),0))))</f>
        <v>0</v>
      </c>
      <c r="F21" s="8">
        <f>IF(D21&lt;&gt;"",D21,E21)*(1+'00_Титул'!$B$9)</f>
        <v>0</v>
      </c>
      <c r="G21" s="3"/>
    </row>
    <row r="22" spans="1:7">
      <c r="A22" s="3" t="s">
        <v>135</v>
      </c>
      <c r="B22" s="3" t="s">
        <v>131</v>
      </c>
      <c r="C22" s="4" t="s">
        <v>289</v>
      </c>
      <c r="D22" s="4"/>
      <c r="E22" s="8">
        <f>IF(C22&lt;&gt;"Да",0,IF(B22="Коктейль",'00_Титул'!$B$5*'00_Титул'!$B$6/MAX(1,COUNTIFS($C:$C,"Да",$B:$B,"Коктейль")),IF(B22="Шот",'00_Титул'!$B$5*'00_Титул'!$B$7/MAX(1,COUNTIFS($C:$C,"Да",$B:$B,"Шот")),IF(B22="Настойка",'00_Титул'!$B$5*'00_Титул'!$B$8/MAX(1,COUNTIFS($C:$C,"Да",$B:$B,"Настойка")),0))))</f>
        <v>0</v>
      </c>
      <c r="F22" s="8">
        <f>IF(D22&lt;&gt;"",D22,E22)*(1+'00_Титул'!$B$9)</f>
        <v>0</v>
      </c>
      <c r="G22" s="3"/>
    </row>
  </sheetData>
  <dataValidations count="1">
    <dataValidation type="list" allowBlank="1" showInputMessage="1" showErrorMessage="1" sqref="C2:C23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3" max="3" width="28.7109375" customWidth="1"/>
    <col min="9" max="9" width="35.7109375" customWidth="1"/>
  </cols>
  <sheetData>
    <row r="1" spans="1:9">
      <c r="A1" t="s">
        <v>105</v>
      </c>
      <c r="B1" t="s">
        <v>106</v>
      </c>
      <c r="C1" t="s">
        <v>138</v>
      </c>
      <c r="D1" t="s">
        <v>139</v>
      </c>
      <c r="E1" t="s">
        <v>290</v>
      </c>
      <c r="F1" t="s">
        <v>141</v>
      </c>
      <c r="G1" t="s">
        <v>291</v>
      </c>
      <c r="H1" t="s">
        <v>292</v>
      </c>
      <c r="I1" t="s">
        <v>20</v>
      </c>
    </row>
    <row r="2" spans="1:9">
      <c r="A2" s="3" t="s">
        <v>109</v>
      </c>
      <c r="B2" s="3" t="s">
        <v>110</v>
      </c>
      <c r="C2" s="3" t="s">
        <v>21</v>
      </c>
      <c r="D2" s="3" t="s">
        <v>22</v>
      </c>
      <c r="E2" s="7">
        <v>90</v>
      </c>
      <c r="F2" s="3" t="s">
        <v>23</v>
      </c>
      <c r="G2" s="8">
        <f>SUMIF('04_Выбор_меню'!$A:$A,A2,'04_Выбор_меню'!$F:$F)</f>
        <v>0</v>
      </c>
      <c r="H2" s="8">
        <f>E2*G2</f>
        <v>0</v>
      </c>
      <c r="I2" s="3"/>
    </row>
    <row r="3" spans="1:9">
      <c r="A3" s="3" t="s">
        <v>109</v>
      </c>
      <c r="B3" s="3" t="s">
        <v>110</v>
      </c>
      <c r="C3" s="3" t="s">
        <v>25</v>
      </c>
      <c r="D3" s="3" t="s">
        <v>22</v>
      </c>
      <c r="E3" s="7">
        <v>60</v>
      </c>
      <c r="F3" s="3" t="s">
        <v>23</v>
      </c>
      <c r="G3" s="8">
        <f>SUMIF('04_Выбор_меню'!$A:$A,A3,'04_Выбор_меню'!$F:$F)</f>
        <v>0</v>
      </c>
      <c r="H3" s="8">
        <f>E3*G3</f>
        <v>0</v>
      </c>
      <c r="I3" s="3"/>
    </row>
    <row r="4" spans="1:9">
      <c r="A4" s="3" t="s">
        <v>109</v>
      </c>
      <c r="B4" s="3" t="s">
        <v>110</v>
      </c>
      <c r="C4" s="3" t="s">
        <v>26</v>
      </c>
      <c r="D4" s="3" t="s">
        <v>22</v>
      </c>
      <c r="E4" s="3"/>
      <c r="F4" s="3" t="s">
        <v>23</v>
      </c>
      <c r="G4" s="8">
        <f>SUMIF('04_Выбор_меню'!$A:$A,A4,'04_Выбор_меню'!$F:$F)</f>
        <v>0</v>
      </c>
      <c r="H4" s="9"/>
      <c r="I4" s="5" t="s">
        <v>147</v>
      </c>
    </row>
    <row r="5" spans="1:9">
      <c r="A5" s="3" t="s">
        <v>113</v>
      </c>
      <c r="B5" s="3" t="s">
        <v>110</v>
      </c>
      <c r="C5" s="3" t="s">
        <v>28</v>
      </c>
      <c r="D5" s="3" t="s">
        <v>22</v>
      </c>
      <c r="E5" s="7">
        <v>35</v>
      </c>
      <c r="F5" s="3" t="s">
        <v>23</v>
      </c>
      <c r="G5" s="8">
        <f>SUMIF('04_Выбор_меню'!$A:$A,A5,'04_Выбор_меню'!$F:$F)</f>
        <v>0</v>
      </c>
      <c r="H5" s="8">
        <f>E5*G5</f>
        <v>0</v>
      </c>
      <c r="I5" s="3"/>
    </row>
    <row r="6" spans="1:9">
      <c r="A6" s="3" t="s">
        <v>113</v>
      </c>
      <c r="B6" s="3" t="s">
        <v>110</v>
      </c>
      <c r="C6" s="3" t="s">
        <v>29</v>
      </c>
      <c r="D6" s="3" t="s">
        <v>22</v>
      </c>
      <c r="E6" s="7">
        <v>40</v>
      </c>
      <c r="F6" s="3" t="s">
        <v>23</v>
      </c>
      <c r="G6" s="8">
        <f>SUMIF('04_Выбор_меню'!$A:$A,A6,'04_Выбор_меню'!$F:$F)</f>
        <v>0</v>
      </c>
      <c r="H6" s="8">
        <f>E6*G6</f>
        <v>0</v>
      </c>
      <c r="I6" s="3"/>
    </row>
    <row r="7" spans="1:9">
      <c r="A7" s="3" t="s">
        <v>113</v>
      </c>
      <c r="B7" s="3" t="s">
        <v>110</v>
      </c>
      <c r="C7" s="3" t="s">
        <v>30</v>
      </c>
      <c r="D7" s="3" t="s">
        <v>22</v>
      </c>
      <c r="E7" s="7">
        <v>15</v>
      </c>
      <c r="F7" s="3" t="s">
        <v>23</v>
      </c>
      <c r="G7" s="8">
        <f>SUMIF('04_Выбор_меню'!$A:$A,A7,'04_Выбор_меню'!$F:$F)</f>
        <v>0</v>
      </c>
      <c r="H7" s="8">
        <f>E7*G7</f>
        <v>0</v>
      </c>
      <c r="I7" s="3"/>
    </row>
    <row r="8" spans="1:9">
      <c r="A8" s="3" t="s">
        <v>113</v>
      </c>
      <c r="B8" s="3" t="s">
        <v>110</v>
      </c>
      <c r="C8" s="3" t="s">
        <v>31</v>
      </c>
      <c r="D8" s="3" t="s">
        <v>22</v>
      </c>
      <c r="E8" s="7">
        <v>10</v>
      </c>
      <c r="F8" s="3" t="s">
        <v>32</v>
      </c>
      <c r="G8" s="8">
        <f>SUMIF('04_Выбор_меню'!$A:$A,A8,'04_Выбор_меню'!$F:$F)</f>
        <v>0</v>
      </c>
      <c r="H8" s="8">
        <f>E8*G8</f>
        <v>0</v>
      </c>
      <c r="I8" s="3"/>
    </row>
    <row r="9" spans="1:9">
      <c r="A9" s="3" t="s">
        <v>113</v>
      </c>
      <c r="B9" s="3" t="s">
        <v>110</v>
      </c>
      <c r="C9" s="3" t="s">
        <v>26</v>
      </c>
      <c r="D9" s="3" t="s">
        <v>22</v>
      </c>
      <c r="E9" s="3"/>
      <c r="F9" s="3" t="s">
        <v>23</v>
      </c>
      <c r="G9" s="8">
        <f>SUMIF('04_Выбор_меню'!$A:$A,A9,'04_Выбор_меню'!$F:$F)</f>
        <v>0</v>
      </c>
      <c r="H9" s="9"/>
      <c r="I9" s="5" t="s">
        <v>147</v>
      </c>
    </row>
    <row r="10" spans="1:9">
      <c r="A10" s="3" t="s">
        <v>114</v>
      </c>
      <c r="B10" s="3" t="s">
        <v>110</v>
      </c>
      <c r="C10" s="3" t="s">
        <v>35</v>
      </c>
      <c r="D10" s="3" t="s">
        <v>22</v>
      </c>
      <c r="E10" s="7">
        <v>40</v>
      </c>
      <c r="F10" s="3" t="s">
        <v>23</v>
      </c>
      <c r="G10" s="8">
        <f>SUMIF('04_Выбор_меню'!$A:$A,A10,'04_Выбор_меню'!$F:$F)</f>
        <v>0</v>
      </c>
      <c r="H10" s="8">
        <f>E10*G10</f>
        <v>0</v>
      </c>
      <c r="I10" s="3"/>
    </row>
    <row r="11" spans="1:9">
      <c r="A11" s="3" t="s">
        <v>114</v>
      </c>
      <c r="B11" s="3" t="s">
        <v>110</v>
      </c>
      <c r="C11" s="3" t="s">
        <v>30</v>
      </c>
      <c r="D11" s="3" t="s">
        <v>22</v>
      </c>
      <c r="E11" s="7">
        <v>20</v>
      </c>
      <c r="F11" s="3" t="s">
        <v>23</v>
      </c>
      <c r="G11" s="8">
        <f>SUMIF('04_Выбор_меню'!$A:$A,A11,'04_Выбор_меню'!$F:$F)</f>
        <v>0</v>
      </c>
      <c r="H11" s="8">
        <f>E11*G11</f>
        <v>0</v>
      </c>
      <c r="I11" s="3"/>
    </row>
    <row r="12" spans="1:9">
      <c r="A12" s="3" t="s">
        <v>114</v>
      </c>
      <c r="B12" s="3" t="s">
        <v>110</v>
      </c>
      <c r="C12" s="3" t="s">
        <v>26</v>
      </c>
      <c r="D12" s="3" t="s">
        <v>22</v>
      </c>
      <c r="E12" s="3"/>
      <c r="F12" s="3" t="s">
        <v>23</v>
      </c>
      <c r="G12" s="8">
        <f>SUMIF('04_Выбор_меню'!$A:$A,A12,'04_Выбор_меню'!$F:$F)</f>
        <v>0</v>
      </c>
      <c r="H12" s="9"/>
      <c r="I12" s="5" t="s">
        <v>147</v>
      </c>
    </row>
    <row r="13" spans="1:9">
      <c r="A13" s="3" t="s">
        <v>114</v>
      </c>
      <c r="B13" s="3" t="s">
        <v>110</v>
      </c>
      <c r="C13" s="3" t="s">
        <v>36</v>
      </c>
      <c r="D13" s="3" t="s">
        <v>37</v>
      </c>
      <c r="E13" s="7">
        <v>20</v>
      </c>
      <c r="F13" s="3" t="s">
        <v>23</v>
      </c>
      <c r="G13" s="8">
        <f>SUMIF('04_Выбор_меню'!$A:$A,A13,'04_Выбор_меню'!$F:$F)</f>
        <v>0</v>
      </c>
      <c r="H13" s="8">
        <f>E13*G13</f>
        <v>0</v>
      </c>
      <c r="I13" s="3"/>
    </row>
    <row r="14" spans="1:9">
      <c r="A14" s="3" t="s">
        <v>115</v>
      </c>
      <c r="B14" s="3" t="s">
        <v>110</v>
      </c>
      <c r="C14" s="3" t="s">
        <v>38</v>
      </c>
      <c r="D14" s="3" t="s">
        <v>37</v>
      </c>
      <c r="E14" s="7">
        <v>30</v>
      </c>
      <c r="F14" s="3" t="s">
        <v>23</v>
      </c>
      <c r="G14" s="8">
        <f>SUMIF('04_Выбор_меню'!$A:$A,A14,'04_Выбор_меню'!$F:$F)</f>
        <v>0</v>
      </c>
      <c r="H14" s="8">
        <f>E14*G14</f>
        <v>0</v>
      </c>
      <c r="I14" s="3"/>
    </row>
    <row r="15" spans="1:9">
      <c r="A15" s="3" t="s">
        <v>115</v>
      </c>
      <c r="B15" s="3" t="s">
        <v>110</v>
      </c>
      <c r="C15" s="3" t="s">
        <v>30</v>
      </c>
      <c r="D15" s="3" t="s">
        <v>22</v>
      </c>
      <c r="E15" s="7">
        <v>15</v>
      </c>
      <c r="F15" s="3" t="s">
        <v>23</v>
      </c>
      <c r="G15" s="8">
        <f>SUMIF('04_Выбор_меню'!$A:$A,A15,'04_Выбор_меню'!$F:$F)</f>
        <v>0</v>
      </c>
      <c r="H15" s="8">
        <f>E15*G15</f>
        <v>0</v>
      </c>
      <c r="I15" s="3"/>
    </row>
    <row r="16" spans="1:9">
      <c r="A16" s="3" t="s">
        <v>115</v>
      </c>
      <c r="B16" s="3" t="s">
        <v>110</v>
      </c>
      <c r="C16" s="3" t="s">
        <v>39</v>
      </c>
      <c r="D16" s="3" t="s">
        <v>22</v>
      </c>
      <c r="E16" s="7">
        <v>2</v>
      </c>
      <c r="F16" s="3" t="s">
        <v>32</v>
      </c>
      <c r="G16" s="8">
        <f>SUMIF('04_Выбор_меню'!$A:$A,A16,'04_Выбор_меню'!$F:$F)</f>
        <v>0</v>
      </c>
      <c r="H16" s="8">
        <f>E16*G16</f>
        <v>0</v>
      </c>
      <c r="I16" s="3"/>
    </row>
    <row r="17" spans="1:9">
      <c r="A17" s="3" t="s">
        <v>115</v>
      </c>
      <c r="B17" s="3" t="s">
        <v>110</v>
      </c>
      <c r="C17" s="3" t="s">
        <v>40</v>
      </c>
      <c r="D17" s="3" t="s">
        <v>22</v>
      </c>
      <c r="E17" s="7">
        <v>50</v>
      </c>
      <c r="F17" s="3" t="s">
        <v>23</v>
      </c>
      <c r="G17" s="8">
        <f>SUMIF('04_Выбор_меню'!$A:$A,A17,'04_Выбор_меню'!$F:$F)</f>
        <v>0</v>
      </c>
      <c r="H17" s="8">
        <f>E17*G17</f>
        <v>0</v>
      </c>
      <c r="I17" s="3"/>
    </row>
    <row r="18" spans="1:9">
      <c r="A18" s="3" t="s">
        <v>116</v>
      </c>
      <c r="B18" s="3" t="s">
        <v>110</v>
      </c>
      <c r="C18" s="3" t="s">
        <v>35</v>
      </c>
      <c r="D18" s="3" t="s">
        <v>22</v>
      </c>
      <c r="E18" s="7">
        <v>35</v>
      </c>
      <c r="F18" s="3" t="s">
        <v>23</v>
      </c>
      <c r="G18" s="8">
        <f>SUMIF('04_Выбор_меню'!$A:$A,A18,'04_Выбор_меню'!$F:$F)</f>
        <v>0</v>
      </c>
      <c r="H18" s="8">
        <f>E18*G18</f>
        <v>0</v>
      </c>
      <c r="I18" s="3"/>
    </row>
    <row r="19" spans="1:9">
      <c r="A19" s="3" t="s">
        <v>116</v>
      </c>
      <c r="B19" s="3" t="s">
        <v>110</v>
      </c>
      <c r="C19" s="3" t="s">
        <v>41</v>
      </c>
      <c r="D19" s="3" t="s">
        <v>37</v>
      </c>
      <c r="E19" s="7">
        <v>25</v>
      </c>
      <c r="F19" s="3" t="s">
        <v>23</v>
      </c>
      <c r="G19" s="8">
        <f>SUMIF('04_Выбор_меню'!$A:$A,A19,'04_Выбор_меню'!$F:$F)</f>
        <v>0</v>
      </c>
      <c r="H19" s="8">
        <f>E19*G19</f>
        <v>0</v>
      </c>
      <c r="I19" s="3"/>
    </row>
    <row r="20" spans="1:9">
      <c r="A20" s="3" t="s">
        <v>116</v>
      </c>
      <c r="B20" s="3" t="s">
        <v>110</v>
      </c>
      <c r="C20" s="3" t="s">
        <v>42</v>
      </c>
      <c r="D20" s="3" t="s">
        <v>22</v>
      </c>
      <c r="E20" s="7">
        <v>15</v>
      </c>
      <c r="F20" s="3" t="s">
        <v>23</v>
      </c>
      <c r="G20" s="8">
        <f>SUMIF('04_Выбор_меню'!$A:$A,A20,'04_Выбор_меню'!$F:$F)</f>
        <v>0</v>
      </c>
      <c r="H20" s="8">
        <f>E20*G20</f>
        <v>0</v>
      </c>
      <c r="I20" s="3"/>
    </row>
    <row r="21" spans="1:9">
      <c r="A21" s="3" t="s">
        <v>116</v>
      </c>
      <c r="B21" s="3" t="s">
        <v>110</v>
      </c>
      <c r="C21" s="3" t="s">
        <v>43</v>
      </c>
      <c r="D21" s="3" t="s">
        <v>22</v>
      </c>
      <c r="E21" s="7">
        <v>30</v>
      </c>
      <c r="F21" s="3" t="s">
        <v>23</v>
      </c>
      <c r="G21" s="8">
        <f>SUMIF('04_Выбор_меню'!$A:$A,A21,'04_Выбор_меню'!$F:$F)</f>
        <v>0</v>
      </c>
      <c r="H21" s="8">
        <f>E21*G21</f>
        <v>0</v>
      </c>
      <c r="I21" s="3"/>
    </row>
    <row r="22" spans="1:9">
      <c r="A22" s="3" t="s">
        <v>116</v>
      </c>
      <c r="B22" s="3" t="s">
        <v>110</v>
      </c>
      <c r="C22" s="3" t="s">
        <v>44</v>
      </c>
      <c r="D22" s="3" t="s">
        <v>22</v>
      </c>
      <c r="E22" s="7">
        <v>2</v>
      </c>
      <c r="F22" s="3" t="s">
        <v>32</v>
      </c>
      <c r="G22" s="8">
        <f>SUMIF('04_Выбор_меню'!$A:$A,A22,'04_Выбор_меню'!$F:$F)</f>
        <v>0</v>
      </c>
      <c r="H22" s="8">
        <f>E22*G22</f>
        <v>0</v>
      </c>
      <c r="I22" s="3"/>
    </row>
    <row r="23" spans="1:9">
      <c r="A23" s="3" t="s">
        <v>116</v>
      </c>
      <c r="B23" s="3" t="s">
        <v>110</v>
      </c>
      <c r="C23" s="3" t="s">
        <v>40</v>
      </c>
      <c r="D23" s="3" t="s">
        <v>22</v>
      </c>
      <c r="E23" s="3"/>
      <c r="F23" s="3" t="s">
        <v>23</v>
      </c>
      <c r="G23" s="8">
        <f>SUMIF('04_Выбор_меню'!$A:$A,A23,'04_Выбор_меню'!$F:$F)</f>
        <v>0</v>
      </c>
      <c r="H23" s="9"/>
      <c r="I23" s="5" t="s">
        <v>147</v>
      </c>
    </row>
    <row r="24" spans="1:9">
      <c r="A24" s="3" t="s">
        <v>117</v>
      </c>
      <c r="B24" s="3" t="s">
        <v>110</v>
      </c>
      <c r="C24" s="3" t="s">
        <v>30</v>
      </c>
      <c r="D24" s="3" t="s">
        <v>22</v>
      </c>
      <c r="E24" s="7">
        <v>20</v>
      </c>
      <c r="F24" s="3" t="s">
        <v>23</v>
      </c>
      <c r="G24" s="8">
        <f>SUMIF('04_Выбор_меню'!$A:$A,A24,'04_Выбор_меню'!$F:$F)</f>
        <v>0</v>
      </c>
      <c r="H24" s="8">
        <f>E24*G24</f>
        <v>0</v>
      </c>
      <c r="I24" s="3"/>
    </row>
    <row r="25" spans="1:9">
      <c r="A25" s="3" t="s">
        <v>117</v>
      </c>
      <c r="B25" s="3" t="s">
        <v>110</v>
      </c>
      <c r="C25" s="3" t="s">
        <v>35</v>
      </c>
      <c r="D25" s="3" t="s">
        <v>22</v>
      </c>
      <c r="E25" s="7">
        <v>40</v>
      </c>
      <c r="F25" s="3" t="s">
        <v>23</v>
      </c>
      <c r="G25" s="8">
        <f>SUMIF('04_Выбор_меню'!$A:$A,A25,'04_Выбор_меню'!$F:$F)</f>
        <v>0</v>
      </c>
      <c r="H25" s="8">
        <f>E25*G25</f>
        <v>0</v>
      </c>
      <c r="I25" s="3"/>
    </row>
    <row r="26" spans="1:9">
      <c r="A26" s="3" t="s">
        <v>117</v>
      </c>
      <c r="B26" s="3" t="s">
        <v>110</v>
      </c>
      <c r="C26" s="3" t="s">
        <v>45</v>
      </c>
      <c r="D26" s="3" t="s">
        <v>22</v>
      </c>
      <c r="E26" s="7">
        <v>20</v>
      </c>
      <c r="F26" s="3" t="s">
        <v>23</v>
      </c>
      <c r="G26" s="8">
        <f>SUMIF('04_Выбор_меню'!$A:$A,A26,'04_Выбор_меню'!$F:$F)</f>
        <v>0</v>
      </c>
      <c r="H26" s="8">
        <f>E26*G26</f>
        <v>0</v>
      </c>
      <c r="I26" s="3"/>
    </row>
    <row r="27" spans="1:9">
      <c r="A27" s="3" t="s">
        <v>117</v>
      </c>
      <c r="B27" s="3" t="s">
        <v>110</v>
      </c>
      <c r="C27" s="3" t="s">
        <v>46</v>
      </c>
      <c r="D27" s="3" t="s">
        <v>22</v>
      </c>
      <c r="E27" s="7">
        <v>3</v>
      </c>
      <c r="F27" s="3" t="s">
        <v>32</v>
      </c>
      <c r="G27" s="8">
        <f>SUMIF('04_Выбор_меню'!$A:$A,A27,'04_Выбор_меню'!$F:$F)</f>
        <v>0</v>
      </c>
      <c r="H27" s="8">
        <f>E27*G27</f>
        <v>0</v>
      </c>
      <c r="I27" s="3"/>
    </row>
    <row r="28" spans="1:9">
      <c r="A28" s="3" t="s">
        <v>118</v>
      </c>
      <c r="B28" s="3" t="s">
        <v>110</v>
      </c>
      <c r="C28" s="3" t="s">
        <v>21</v>
      </c>
      <c r="D28" s="3" t="s">
        <v>22</v>
      </c>
      <c r="E28" s="7">
        <v>100</v>
      </c>
      <c r="F28" s="3" t="s">
        <v>23</v>
      </c>
      <c r="G28" s="8">
        <f>SUMIF('04_Выбор_меню'!$A:$A,A28,'04_Выбор_меню'!$F:$F)</f>
        <v>0</v>
      </c>
      <c r="H28" s="8">
        <f>E28*G28</f>
        <v>0</v>
      </c>
      <c r="I28" s="3"/>
    </row>
    <row r="29" spans="1:9">
      <c r="A29" s="3" t="s">
        <v>118</v>
      </c>
      <c r="B29" s="3" t="s">
        <v>110</v>
      </c>
      <c r="C29" s="3" t="s">
        <v>47</v>
      </c>
      <c r="D29" s="3" t="s">
        <v>37</v>
      </c>
      <c r="E29" s="7">
        <v>50</v>
      </c>
      <c r="F29" s="3" t="s">
        <v>23</v>
      </c>
      <c r="G29" s="8">
        <f>SUMIF('04_Выбор_меню'!$A:$A,A29,'04_Выбор_меню'!$F:$F)</f>
        <v>0</v>
      </c>
      <c r="H29" s="8">
        <f>E29*G29</f>
        <v>0</v>
      </c>
      <c r="I29" s="3"/>
    </row>
    <row r="30" spans="1:9">
      <c r="A30" s="3" t="s">
        <v>119</v>
      </c>
      <c r="B30" s="3" t="s">
        <v>110</v>
      </c>
      <c r="C30" s="3" t="s">
        <v>35</v>
      </c>
      <c r="D30" s="3" t="s">
        <v>22</v>
      </c>
      <c r="E30" s="7">
        <v>50</v>
      </c>
      <c r="F30" s="3" t="s">
        <v>23</v>
      </c>
      <c r="G30" s="8">
        <f>SUMIF('04_Выбор_меню'!$A:$A,A30,'04_Выбор_меню'!$F:$F)</f>
        <v>0</v>
      </c>
      <c r="H30" s="8">
        <f>E30*G30</f>
        <v>0</v>
      </c>
      <c r="I30" s="3"/>
    </row>
    <row r="31" spans="1:9">
      <c r="A31" s="3" t="s">
        <v>119</v>
      </c>
      <c r="B31" s="3" t="s">
        <v>110</v>
      </c>
      <c r="C31" s="3" t="s">
        <v>48</v>
      </c>
      <c r="D31" s="3" t="s">
        <v>22</v>
      </c>
      <c r="E31" s="7">
        <v>15</v>
      </c>
      <c r="F31" s="3" t="s">
        <v>23</v>
      </c>
      <c r="G31" s="8">
        <f>SUMIF('04_Выбор_меню'!$A:$A,A31,'04_Выбор_меню'!$F:$F)</f>
        <v>0</v>
      </c>
      <c r="H31" s="8">
        <f>E31*G31</f>
        <v>0</v>
      </c>
      <c r="I31" s="3"/>
    </row>
    <row r="32" spans="1:9">
      <c r="A32" s="3" t="s">
        <v>119</v>
      </c>
      <c r="B32" s="3" t="s">
        <v>110</v>
      </c>
      <c r="C32" s="3" t="s">
        <v>30</v>
      </c>
      <c r="D32" s="3" t="s">
        <v>22</v>
      </c>
      <c r="E32" s="7">
        <v>15</v>
      </c>
      <c r="F32" s="3" t="s">
        <v>23</v>
      </c>
      <c r="G32" s="8">
        <f>SUMIF('04_Выбор_меню'!$A:$A,A32,'04_Выбор_меню'!$F:$F)</f>
        <v>0</v>
      </c>
      <c r="H32" s="8">
        <f>E32*G32</f>
        <v>0</v>
      </c>
      <c r="I32" s="3"/>
    </row>
    <row r="33" spans="1:9">
      <c r="A33" s="3" t="s">
        <v>119</v>
      </c>
      <c r="B33" s="3" t="s">
        <v>110</v>
      </c>
      <c r="C33" s="3" t="s">
        <v>49</v>
      </c>
      <c r="D33" s="3" t="s">
        <v>37</v>
      </c>
      <c r="E33" s="7">
        <v>1</v>
      </c>
      <c r="F33" s="3"/>
      <c r="G33" s="8">
        <f>SUMIF('04_Выбор_меню'!$A:$A,A33,'04_Выбор_меню'!$F:$F)</f>
        <v>0</v>
      </c>
      <c r="H33" s="8">
        <f>E33*G33</f>
        <v>0</v>
      </c>
      <c r="I33" s="3"/>
    </row>
    <row r="34" spans="1:9">
      <c r="A34" s="3" t="s">
        <v>120</v>
      </c>
      <c r="B34" s="3" t="s">
        <v>110</v>
      </c>
      <c r="C34" s="3" t="s">
        <v>50</v>
      </c>
      <c r="D34" s="3" t="s">
        <v>37</v>
      </c>
      <c r="E34" s="7">
        <v>60</v>
      </c>
      <c r="F34" s="3"/>
      <c r="G34" s="8">
        <f>SUMIF('04_Выбор_меню'!$A:$A,A34,'04_Выбор_меню'!$F:$F)</f>
        <v>0</v>
      </c>
      <c r="H34" s="8">
        <f>E34*G34</f>
        <v>0</v>
      </c>
      <c r="I34" s="3"/>
    </row>
    <row r="35" spans="1:9">
      <c r="A35" s="3" t="s">
        <v>120</v>
      </c>
      <c r="B35" s="3" t="s">
        <v>110</v>
      </c>
      <c r="C35" s="3" t="s">
        <v>30</v>
      </c>
      <c r="D35" s="3" t="s">
        <v>22</v>
      </c>
      <c r="E35" s="7">
        <v>20</v>
      </c>
      <c r="F35" s="3" t="s">
        <v>23</v>
      </c>
      <c r="G35" s="8">
        <f>SUMIF('04_Выбор_меню'!$A:$A,A35,'04_Выбор_меню'!$F:$F)</f>
        <v>0</v>
      </c>
      <c r="H35" s="8">
        <f>E35*G35</f>
        <v>0</v>
      </c>
      <c r="I35" s="3"/>
    </row>
    <row r="36" spans="1:9">
      <c r="A36" s="3" t="s">
        <v>120</v>
      </c>
      <c r="B36" s="3" t="s">
        <v>110</v>
      </c>
      <c r="C36" s="3" t="s">
        <v>48</v>
      </c>
      <c r="D36" s="3" t="s">
        <v>22</v>
      </c>
      <c r="E36" s="7">
        <v>10</v>
      </c>
      <c r="F36" s="3" t="s">
        <v>23</v>
      </c>
      <c r="G36" s="8">
        <f>SUMIF('04_Выбор_меню'!$A:$A,A36,'04_Выбор_меню'!$F:$F)</f>
        <v>0</v>
      </c>
      <c r="H36" s="8">
        <f>E36*G36</f>
        <v>0</v>
      </c>
      <c r="I36" s="3"/>
    </row>
    <row r="37" spans="1:9">
      <c r="A37" s="3" t="s">
        <v>120</v>
      </c>
      <c r="B37" s="3" t="s">
        <v>110</v>
      </c>
      <c r="C37" s="3" t="s">
        <v>51</v>
      </c>
      <c r="D37" s="3" t="s">
        <v>22</v>
      </c>
      <c r="E37" s="7">
        <v>20</v>
      </c>
      <c r="F37" s="3" t="s">
        <v>23</v>
      </c>
      <c r="G37" s="8">
        <f>SUMIF('04_Выбор_меню'!$A:$A,A37,'04_Выбор_меню'!$F:$F)</f>
        <v>0</v>
      </c>
      <c r="H37" s="8">
        <f>E37*G37</f>
        <v>0</v>
      </c>
      <c r="I37" s="3"/>
    </row>
    <row r="38" spans="1:9">
      <c r="A38" s="3" t="s">
        <v>121</v>
      </c>
      <c r="B38" s="3" t="s">
        <v>110</v>
      </c>
      <c r="C38" s="3" t="s">
        <v>52</v>
      </c>
      <c r="D38" s="3" t="s">
        <v>22</v>
      </c>
      <c r="E38" s="7">
        <v>40</v>
      </c>
      <c r="F38" s="3" t="s">
        <v>23</v>
      </c>
      <c r="G38" s="8">
        <f>SUMIF('04_Выбор_меню'!$A:$A,A38,'04_Выбор_меню'!$F:$F)</f>
        <v>0</v>
      </c>
      <c r="H38" s="8">
        <f>E38*G38</f>
        <v>0</v>
      </c>
      <c r="I38" s="3"/>
    </row>
    <row r="39" spans="1:9">
      <c r="A39" s="3" t="s">
        <v>121</v>
      </c>
      <c r="B39" s="3" t="s">
        <v>110</v>
      </c>
      <c r="C39" s="3" t="s">
        <v>53</v>
      </c>
      <c r="D39" s="3" t="s">
        <v>37</v>
      </c>
      <c r="E39" s="7">
        <v>20</v>
      </c>
      <c r="F39" s="3"/>
      <c r="G39" s="8">
        <f>SUMIF('04_Выбор_меню'!$A:$A,A39,'04_Выбор_меню'!$F:$F)</f>
        <v>0</v>
      </c>
      <c r="H39" s="8">
        <f>E39*G39</f>
        <v>0</v>
      </c>
      <c r="I39" s="3"/>
    </row>
    <row r="40" spans="1:9">
      <c r="A40" s="3" t="s">
        <v>121</v>
      </c>
      <c r="B40" s="3" t="s">
        <v>110</v>
      </c>
      <c r="C40" s="3" t="s">
        <v>43</v>
      </c>
      <c r="D40" s="3" t="s">
        <v>22</v>
      </c>
      <c r="E40" s="7">
        <v>15</v>
      </c>
      <c r="F40" s="3" t="s">
        <v>23</v>
      </c>
      <c r="G40" s="8">
        <f>SUMIF('04_Выбор_меню'!$A:$A,A40,'04_Выбор_меню'!$F:$F)</f>
        <v>0</v>
      </c>
      <c r="H40" s="8">
        <f>E40*G40</f>
        <v>0</v>
      </c>
      <c r="I40" s="3"/>
    </row>
    <row r="41" spans="1:9">
      <c r="A41" s="3" t="s">
        <v>121</v>
      </c>
      <c r="B41" s="3" t="s">
        <v>110</v>
      </c>
      <c r="C41" s="3" t="s">
        <v>30</v>
      </c>
      <c r="D41" s="3" t="s">
        <v>22</v>
      </c>
      <c r="E41" s="7">
        <v>10</v>
      </c>
      <c r="F41" s="3" t="s">
        <v>23</v>
      </c>
      <c r="G41" s="8">
        <f>SUMIF('04_Выбор_меню'!$A:$A,A41,'04_Выбор_меню'!$F:$F)</f>
        <v>0</v>
      </c>
      <c r="H41" s="8">
        <f>E41*G41</f>
        <v>0</v>
      </c>
      <c r="I41" s="3"/>
    </row>
    <row r="42" spans="1:9">
      <c r="A42" s="3" t="s">
        <v>121</v>
      </c>
      <c r="B42" s="3" t="s">
        <v>110</v>
      </c>
      <c r="C42" s="3" t="s">
        <v>48</v>
      </c>
      <c r="D42" s="3" t="s">
        <v>22</v>
      </c>
      <c r="E42" s="7">
        <v>5</v>
      </c>
      <c r="F42" s="3" t="s">
        <v>23</v>
      </c>
      <c r="G42" s="8">
        <f>SUMIF('04_Выбор_меню'!$A:$A,A42,'04_Выбор_меню'!$F:$F)</f>
        <v>0</v>
      </c>
      <c r="H42" s="8">
        <f>E42*G42</f>
        <v>0</v>
      </c>
      <c r="I42" s="3"/>
    </row>
    <row r="43" spans="1:9">
      <c r="A43" s="3" t="s">
        <v>122</v>
      </c>
      <c r="B43" s="3" t="s">
        <v>110</v>
      </c>
      <c r="C43" s="3" t="s">
        <v>35</v>
      </c>
      <c r="D43" s="3" t="s">
        <v>22</v>
      </c>
      <c r="E43" s="7">
        <v>30</v>
      </c>
      <c r="F43" s="3" t="s">
        <v>23</v>
      </c>
      <c r="G43" s="8">
        <f>SUMIF('04_Выбор_меню'!$A:$A,A43,'04_Выбор_меню'!$F:$F)</f>
        <v>0</v>
      </c>
      <c r="H43" s="8">
        <f>E43*G43</f>
        <v>0</v>
      </c>
      <c r="I43" s="3"/>
    </row>
    <row r="44" spans="1:9">
      <c r="A44" s="3" t="s">
        <v>122</v>
      </c>
      <c r="B44" s="3" t="s">
        <v>110</v>
      </c>
      <c r="C44" s="3" t="s">
        <v>53</v>
      </c>
      <c r="D44" s="3" t="s">
        <v>37</v>
      </c>
      <c r="E44" s="7">
        <v>30</v>
      </c>
      <c r="F44" s="3"/>
      <c r="G44" s="8">
        <f>SUMIF('04_Выбор_меню'!$A:$A,A44,'04_Выбор_меню'!$F:$F)</f>
        <v>0</v>
      </c>
      <c r="H44" s="8">
        <f>E44*G44</f>
        <v>0</v>
      </c>
      <c r="I44" s="3"/>
    </row>
    <row r="45" spans="1:9">
      <c r="A45" s="3" t="s">
        <v>122</v>
      </c>
      <c r="B45" s="3" t="s">
        <v>110</v>
      </c>
      <c r="C45" s="3" t="s">
        <v>54</v>
      </c>
      <c r="D45" s="3" t="s">
        <v>22</v>
      </c>
      <c r="E45" s="7">
        <v>15</v>
      </c>
      <c r="F45" s="3" t="s">
        <v>23</v>
      </c>
      <c r="G45" s="8">
        <f>SUMIF('04_Выбор_меню'!$A:$A,A45,'04_Выбор_меню'!$F:$F)</f>
        <v>0</v>
      </c>
      <c r="H45" s="8">
        <f>E45*G45</f>
        <v>0</v>
      </c>
      <c r="I45" s="3"/>
    </row>
    <row r="46" spans="1:9">
      <c r="A46" s="3" t="s">
        <v>122</v>
      </c>
      <c r="B46" s="3" t="s">
        <v>110</v>
      </c>
      <c r="C46" s="3" t="s">
        <v>47</v>
      </c>
      <c r="D46" s="3" t="s">
        <v>37</v>
      </c>
      <c r="E46" s="7">
        <v>10</v>
      </c>
      <c r="F46" s="3" t="s">
        <v>23</v>
      </c>
      <c r="G46" s="8">
        <f>SUMIF('04_Выбор_меню'!$A:$A,A46,'04_Выбор_меню'!$F:$F)</f>
        <v>0</v>
      </c>
      <c r="H46" s="8">
        <f>E46*G46</f>
        <v>0</v>
      </c>
      <c r="I46" s="3"/>
    </row>
    <row r="47" spans="1:9">
      <c r="A47" s="3" t="s">
        <v>122</v>
      </c>
      <c r="B47" s="3" t="s">
        <v>110</v>
      </c>
      <c r="C47" s="3" t="s">
        <v>30</v>
      </c>
      <c r="D47" s="3" t="s">
        <v>22</v>
      </c>
      <c r="E47" s="7">
        <v>5</v>
      </c>
      <c r="F47" s="3" t="s">
        <v>23</v>
      </c>
      <c r="G47" s="8">
        <f>SUMIF('04_Выбор_меню'!$A:$A,A47,'04_Выбор_меню'!$F:$F)</f>
        <v>0</v>
      </c>
      <c r="H47" s="8">
        <f>E47*G47</f>
        <v>0</v>
      </c>
      <c r="I47" s="3"/>
    </row>
    <row r="48" spans="1:9">
      <c r="A48" s="3" t="s">
        <v>123</v>
      </c>
      <c r="B48" s="3" t="s">
        <v>110</v>
      </c>
      <c r="C48" s="3" t="s">
        <v>53</v>
      </c>
      <c r="D48" s="3" t="s">
        <v>37</v>
      </c>
      <c r="E48" s="7">
        <v>30</v>
      </c>
      <c r="F48" s="3"/>
      <c r="G48" s="8">
        <f>SUMIF('04_Выбор_меню'!$A:$A,A48,'04_Выбор_меню'!$F:$F)</f>
        <v>0</v>
      </c>
      <c r="H48" s="8">
        <f>E48*G48</f>
        <v>0</v>
      </c>
      <c r="I48" s="3"/>
    </row>
    <row r="49" spans="1:9">
      <c r="A49" s="3" t="s">
        <v>123</v>
      </c>
      <c r="B49" s="3" t="s">
        <v>110</v>
      </c>
      <c r="C49" s="3" t="s">
        <v>30</v>
      </c>
      <c r="D49" s="3" t="s">
        <v>22</v>
      </c>
      <c r="E49" s="7">
        <v>20</v>
      </c>
      <c r="F49" s="3" t="s">
        <v>23</v>
      </c>
      <c r="G49" s="8">
        <f>SUMIF('04_Выбор_меню'!$A:$A,A49,'04_Выбор_меню'!$F:$F)</f>
        <v>0</v>
      </c>
      <c r="H49" s="8">
        <f>E49*G49</f>
        <v>0</v>
      </c>
      <c r="I49" s="3"/>
    </row>
    <row r="50" spans="1:9">
      <c r="A50" s="3" t="s">
        <v>123</v>
      </c>
      <c r="B50" s="3" t="s">
        <v>110</v>
      </c>
      <c r="C50" s="3" t="s">
        <v>26</v>
      </c>
      <c r="D50" s="3" t="s">
        <v>22</v>
      </c>
      <c r="E50" s="7">
        <v>60</v>
      </c>
      <c r="F50" s="3" t="s">
        <v>23</v>
      </c>
      <c r="G50" s="8">
        <f>SUMIF('04_Выбор_меню'!$A:$A,A50,'04_Выбор_меню'!$F:$F)</f>
        <v>0</v>
      </c>
      <c r="H50" s="8">
        <f>E50*G50</f>
        <v>0</v>
      </c>
      <c r="I50" s="3"/>
    </row>
    <row r="51" spans="1:9">
      <c r="A51" s="3" t="s">
        <v>124</v>
      </c>
      <c r="B51" s="3" t="s">
        <v>125</v>
      </c>
      <c r="C51" s="3" t="s">
        <v>42</v>
      </c>
      <c r="D51" s="3" t="s">
        <v>22</v>
      </c>
      <c r="E51" s="7">
        <v>30</v>
      </c>
      <c r="F51" s="3" t="s">
        <v>23</v>
      </c>
      <c r="G51" s="8">
        <f>SUMIF('04_Выбор_меню'!$A:$A,A51,'04_Выбор_меню'!$F:$F)</f>
        <v>0</v>
      </c>
      <c r="H51" s="8">
        <f>E51*G51</f>
        <v>0</v>
      </c>
      <c r="I51" s="3"/>
    </row>
    <row r="52" spans="1:9">
      <c r="A52" s="3" t="s">
        <v>124</v>
      </c>
      <c r="B52" s="3" t="s">
        <v>125</v>
      </c>
      <c r="C52" s="3" t="s">
        <v>30</v>
      </c>
      <c r="D52" s="3" t="s">
        <v>22</v>
      </c>
      <c r="E52" s="7">
        <v>10</v>
      </c>
      <c r="F52" s="3" t="s">
        <v>23</v>
      </c>
      <c r="G52" s="8">
        <f>SUMIF('04_Выбор_меню'!$A:$A,A52,'04_Выбор_меню'!$F:$F)</f>
        <v>0</v>
      </c>
      <c r="H52" s="8">
        <f>E52*G52</f>
        <v>0</v>
      </c>
      <c r="I52" s="3"/>
    </row>
    <row r="53" spans="1:9">
      <c r="A53" s="3" t="s">
        <v>124</v>
      </c>
      <c r="B53" s="3" t="s">
        <v>125</v>
      </c>
      <c r="C53" s="3" t="s">
        <v>55</v>
      </c>
      <c r="D53" s="3" t="s">
        <v>22</v>
      </c>
      <c r="E53" s="7">
        <v>2</v>
      </c>
      <c r="F53" s="3"/>
      <c r="G53" s="8">
        <f>SUMIF('04_Выбор_меню'!$A:$A,A53,'04_Выбор_меню'!$F:$F)</f>
        <v>0</v>
      </c>
      <c r="H53" s="8">
        <f>E53*G53</f>
        <v>0</v>
      </c>
      <c r="I53" s="3"/>
    </row>
    <row r="54" spans="1:9">
      <c r="A54" s="3" t="s">
        <v>124</v>
      </c>
      <c r="B54" s="3" t="s">
        <v>125</v>
      </c>
      <c r="C54" s="3" t="s">
        <v>56</v>
      </c>
      <c r="D54" s="3" t="s">
        <v>22</v>
      </c>
      <c r="E54" s="7">
        <v>30</v>
      </c>
      <c r="F54" s="3" t="s">
        <v>23</v>
      </c>
      <c r="G54" s="8">
        <f>SUMIF('04_Выбор_меню'!$A:$A,A54,'04_Выбор_меню'!$F:$F)</f>
        <v>0</v>
      </c>
      <c r="H54" s="8">
        <f>E54*G54</f>
        <v>0</v>
      </c>
      <c r="I54" s="3"/>
    </row>
    <row r="55" spans="1:9">
      <c r="A55" s="3" t="s">
        <v>126</v>
      </c>
      <c r="B55" s="3" t="s">
        <v>125</v>
      </c>
      <c r="C55" s="3" t="s">
        <v>57</v>
      </c>
      <c r="D55" s="3" t="s">
        <v>37</v>
      </c>
      <c r="E55" s="7">
        <v>15</v>
      </c>
      <c r="F55" s="3" t="s">
        <v>23</v>
      </c>
      <c r="G55" s="8">
        <f>SUMIF('04_Выбор_меню'!$A:$A,A55,'04_Выбор_меню'!$F:$F)</f>
        <v>0</v>
      </c>
      <c r="H55" s="8">
        <f>E55*G55</f>
        <v>0</v>
      </c>
      <c r="I55" s="3"/>
    </row>
    <row r="56" spans="1:9">
      <c r="A56" s="3" t="s">
        <v>126</v>
      </c>
      <c r="B56" s="3" t="s">
        <v>125</v>
      </c>
      <c r="C56" s="3" t="s">
        <v>58</v>
      </c>
      <c r="D56" s="3" t="s">
        <v>22</v>
      </c>
      <c r="E56" s="7">
        <v>20</v>
      </c>
      <c r="F56" s="3" t="s">
        <v>23</v>
      </c>
      <c r="G56" s="8">
        <f>SUMIF('04_Выбор_меню'!$A:$A,A56,'04_Выбор_меню'!$F:$F)</f>
        <v>0</v>
      </c>
      <c r="H56" s="8">
        <f>E56*G56</f>
        <v>0</v>
      </c>
      <c r="I56" s="3"/>
    </row>
    <row r="57" spans="1:9">
      <c r="A57" s="3" t="s">
        <v>126</v>
      </c>
      <c r="B57" s="3" t="s">
        <v>125</v>
      </c>
      <c r="C57" s="3" t="s">
        <v>45</v>
      </c>
      <c r="D57" s="3" t="s">
        <v>22</v>
      </c>
      <c r="E57" s="7">
        <v>10</v>
      </c>
      <c r="F57" s="3" t="s">
        <v>23</v>
      </c>
      <c r="G57" s="8">
        <f>SUMIF('04_Выбор_меню'!$A:$A,A57,'04_Выбор_меню'!$F:$F)</f>
        <v>0</v>
      </c>
      <c r="H57" s="8">
        <f>E57*G57</f>
        <v>0</v>
      </c>
      <c r="I57" s="3"/>
    </row>
    <row r="58" spans="1:9">
      <c r="A58" s="3" t="s">
        <v>127</v>
      </c>
      <c r="B58" s="3" t="s">
        <v>125</v>
      </c>
      <c r="C58" s="3" t="s">
        <v>59</v>
      </c>
      <c r="D58" s="3" t="s">
        <v>22</v>
      </c>
      <c r="E58" s="7">
        <v>40</v>
      </c>
      <c r="F58" s="3" t="s">
        <v>23</v>
      </c>
      <c r="G58" s="8">
        <f>SUMIF('04_Выбор_меню'!$A:$A,A58,'04_Выбор_меню'!$F:$F)</f>
        <v>0</v>
      </c>
      <c r="H58" s="8">
        <f>E58*G58</f>
        <v>0</v>
      </c>
      <c r="I58" s="3"/>
    </row>
    <row r="59" spans="1:9">
      <c r="A59" s="3" t="s">
        <v>127</v>
      </c>
      <c r="B59" s="3" t="s">
        <v>125</v>
      </c>
      <c r="C59" s="3" t="s">
        <v>30</v>
      </c>
      <c r="D59" s="3" t="s">
        <v>22</v>
      </c>
      <c r="E59" s="7">
        <v>30</v>
      </c>
      <c r="F59" s="3" t="s">
        <v>23</v>
      </c>
      <c r="G59" s="8">
        <f>SUMIF('04_Выбор_меню'!$A:$A,A59,'04_Выбор_меню'!$F:$F)</f>
        <v>0</v>
      </c>
      <c r="H59" s="8">
        <f>E59*G59</f>
        <v>0</v>
      </c>
      <c r="I59" s="3"/>
    </row>
    <row r="60" spans="1:9">
      <c r="A60" s="3" t="s">
        <v>127</v>
      </c>
      <c r="B60" s="3" t="s">
        <v>125</v>
      </c>
      <c r="C60" s="3" t="s">
        <v>54</v>
      </c>
      <c r="D60" s="3" t="s">
        <v>22</v>
      </c>
      <c r="E60" s="7">
        <v>30</v>
      </c>
      <c r="F60" s="3" t="s">
        <v>23</v>
      </c>
      <c r="G60" s="8">
        <f>SUMIF('04_Выбор_меню'!$A:$A,A60,'04_Выбор_меню'!$F:$F)</f>
        <v>0</v>
      </c>
      <c r="H60" s="8">
        <f>E60*G60</f>
        <v>0</v>
      </c>
      <c r="I60" s="3"/>
    </row>
    <row r="61" spans="1:9">
      <c r="A61" s="3" t="s">
        <v>127</v>
      </c>
      <c r="B61" s="3" t="s">
        <v>125</v>
      </c>
      <c r="C61" s="3" t="s">
        <v>45</v>
      </c>
      <c r="D61" s="3" t="s">
        <v>22</v>
      </c>
      <c r="E61" s="7">
        <v>15</v>
      </c>
      <c r="F61" s="3" t="s">
        <v>23</v>
      </c>
      <c r="G61" s="8">
        <f>SUMIF('04_Выбор_меню'!$A:$A,A61,'04_Выбор_меню'!$F:$F)</f>
        <v>0</v>
      </c>
      <c r="H61" s="8">
        <f>E61*G61</f>
        <v>0</v>
      </c>
      <c r="I61" s="3"/>
    </row>
    <row r="62" spans="1:9">
      <c r="A62" s="3" t="s">
        <v>128</v>
      </c>
      <c r="B62" s="3" t="s">
        <v>125</v>
      </c>
      <c r="C62" s="3" t="s">
        <v>60</v>
      </c>
      <c r="D62" s="3" t="s">
        <v>22</v>
      </c>
      <c r="E62" s="7">
        <v>40</v>
      </c>
      <c r="F62" s="3" t="s">
        <v>23</v>
      </c>
      <c r="G62" s="8">
        <f>SUMIF('04_Выбор_меню'!$A:$A,A62,'04_Выбор_меню'!$F:$F)</f>
        <v>0</v>
      </c>
      <c r="H62" s="8">
        <f>E62*G62</f>
        <v>0</v>
      </c>
      <c r="I62" s="3"/>
    </row>
    <row r="63" spans="1:9">
      <c r="A63" s="3" t="s">
        <v>128</v>
      </c>
      <c r="B63" s="3" t="s">
        <v>125</v>
      </c>
      <c r="C63" s="3" t="s">
        <v>30</v>
      </c>
      <c r="D63" s="3" t="s">
        <v>22</v>
      </c>
      <c r="E63" s="7">
        <v>10</v>
      </c>
      <c r="F63" s="3" t="s">
        <v>23</v>
      </c>
      <c r="G63" s="8">
        <f>SUMIF('04_Выбор_меню'!$A:$A,A63,'04_Выбор_меню'!$F:$F)</f>
        <v>0</v>
      </c>
      <c r="H63" s="8">
        <f>E63*G63</f>
        <v>0</v>
      </c>
      <c r="I63" s="3"/>
    </row>
    <row r="64" spans="1:9">
      <c r="A64" s="3" t="s">
        <v>128</v>
      </c>
      <c r="B64" s="3" t="s">
        <v>125</v>
      </c>
      <c r="C64" s="3" t="s">
        <v>61</v>
      </c>
      <c r="D64" s="3" t="s">
        <v>22</v>
      </c>
      <c r="E64" s="7">
        <v>10</v>
      </c>
      <c r="F64" s="3" t="s">
        <v>23</v>
      </c>
      <c r="G64" s="8">
        <f>SUMIF('04_Выбор_меню'!$A:$A,A64,'04_Выбор_меню'!$F:$F)</f>
        <v>0</v>
      </c>
      <c r="H64" s="8">
        <f>E64*G64</f>
        <v>0</v>
      </c>
      <c r="I64" s="3"/>
    </row>
    <row r="65" spans="1:9">
      <c r="A65" s="3" t="s">
        <v>128</v>
      </c>
      <c r="B65" s="3" t="s">
        <v>125</v>
      </c>
      <c r="C65" s="3" t="s">
        <v>45</v>
      </c>
      <c r="D65" s="3" t="s">
        <v>22</v>
      </c>
      <c r="E65" s="7">
        <v>20</v>
      </c>
      <c r="F65" s="3" t="s">
        <v>23</v>
      </c>
      <c r="G65" s="8">
        <f>SUMIF('04_Выбор_меню'!$A:$A,A65,'04_Выбор_меню'!$F:$F)</f>
        <v>0</v>
      </c>
      <c r="H65" s="8">
        <f>E65*G65</f>
        <v>0</v>
      </c>
      <c r="I65" s="3"/>
    </row>
    <row r="66" spans="1:9">
      <c r="A66" s="3" t="s">
        <v>129</v>
      </c>
      <c r="B66" s="3" t="s">
        <v>125</v>
      </c>
      <c r="C66" s="3" t="s">
        <v>59</v>
      </c>
      <c r="D66" s="3" t="s">
        <v>22</v>
      </c>
      <c r="E66" s="7">
        <v>20</v>
      </c>
      <c r="F66" s="3" t="s">
        <v>23</v>
      </c>
      <c r="G66" s="8">
        <f>SUMIF('04_Выбор_меню'!$A:$A,A66,'04_Выбор_меню'!$F:$F)</f>
        <v>0</v>
      </c>
      <c r="H66" s="8">
        <f>E66*G66</f>
        <v>0</v>
      </c>
      <c r="I66" s="3"/>
    </row>
    <row r="67" spans="1:9">
      <c r="A67" s="3" t="s">
        <v>129</v>
      </c>
      <c r="B67" s="3" t="s">
        <v>125</v>
      </c>
      <c r="C67" s="3" t="s">
        <v>30</v>
      </c>
      <c r="D67" s="3" t="s">
        <v>22</v>
      </c>
      <c r="E67" s="7">
        <v>15</v>
      </c>
      <c r="F67" s="3" t="s">
        <v>23</v>
      </c>
      <c r="G67" s="8">
        <f>SUMIF('04_Выбор_меню'!$A:$A,A67,'04_Выбор_меню'!$F:$F)</f>
        <v>0</v>
      </c>
      <c r="H67" s="8">
        <f>E67*G67</f>
        <v>0</v>
      </c>
      <c r="I67" s="3"/>
    </row>
    <row r="68" spans="1:9">
      <c r="A68" s="3" t="s">
        <v>129</v>
      </c>
      <c r="B68" s="3" t="s">
        <v>125</v>
      </c>
      <c r="C68" s="3" t="s">
        <v>31</v>
      </c>
      <c r="D68" s="3" t="s">
        <v>22</v>
      </c>
      <c r="E68" s="7">
        <v>2</v>
      </c>
      <c r="F68" s="3" t="s">
        <v>32</v>
      </c>
      <c r="G68" s="8">
        <f>SUMIF('04_Выбор_меню'!$A:$A,A68,'04_Выбор_меню'!$F:$F)</f>
        <v>0</v>
      </c>
      <c r="H68" s="8">
        <f>E68*G68</f>
        <v>0</v>
      </c>
      <c r="I68" s="3"/>
    </row>
    <row r="69" spans="1:9">
      <c r="A69" s="3" t="s">
        <v>129</v>
      </c>
      <c r="B69" s="3" t="s">
        <v>125</v>
      </c>
      <c r="C69" s="3" t="s">
        <v>62</v>
      </c>
      <c r="D69" s="3" t="s">
        <v>22</v>
      </c>
      <c r="E69" s="7">
        <v>10</v>
      </c>
      <c r="F69" s="3" t="s">
        <v>23</v>
      </c>
      <c r="G69" s="8">
        <f>SUMIF('04_Выбор_меню'!$A:$A,A69,'04_Выбор_меню'!$F:$F)</f>
        <v>0</v>
      </c>
      <c r="H69" s="8">
        <f>E69*G69</f>
        <v>0</v>
      </c>
      <c r="I69" s="3"/>
    </row>
    <row r="70" spans="1:9">
      <c r="A70" s="3" t="s">
        <v>129</v>
      </c>
      <c r="B70" s="3" t="s">
        <v>125</v>
      </c>
      <c r="C70" s="3" t="s">
        <v>42</v>
      </c>
      <c r="D70" s="3" t="s">
        <v>22</v>
      </c>
      <c r="E70" s="7">
        <v>20</v>
      </c>
      <c r="F70" s="3" t="s">
        <v>23</v>
      </c>
      <c r="G70" s="8">
        <f>SUMIF('04_Выбор_меню'!$A:$A,A70,'04_Выбор_меню'!$F:$F)</f>
        <v>0</v>
      </c>
      <c r="H70" s="8">
        <f>E70*G70</f>
        <v>0</v>
      </c>
      <c r="I70" s="3"/>
    </row>
    <row r="71" spans="1:9">
      <c r="A71" s="3" t="s">
        <v>130</v>
      </c>
      <c r="B71" s="3" t="s">
        <v>131</v>
      </c>
      <c r="C71" s="3" t="s">
        <v>63</v>
      </c>
      <c r="D71" s="3" t="s">
        <v>22</v>
      </c>
      <c r="E71" s="7">
        <v>5</v>
      </c>
      <c r="F71" s="3" t="s">
        <v>64</v>
      </c>
      <c r="G71" s="8">
        <f>SUMIF('04_Выбор_меню'!$A:$A,A71,'04_Выбор_меню'!$F:$F)</f>
        <v>0</v>
      </c>
      <c r="H71" s="8">
        <f>E71*G71</f>
        <v>0</v>
      </c>
      <c r="I71" s="3"/>
    </row>
    <row r="72" spans="1:9">
      <c r="A72" s="3" t="s">
        <v>130</v>
      </c>
      <c r="B72" s="3" t="s">
        <v>131</v>
      </c>
      <c r="C72" s="3" t="s">
        <v>66</v>
      </c>
      <c r="D72" s="3" t="s">
        <v>22</v>
      </c>
      <c r="E72" s="7">
        <v>150</v>
      </c>
      <c r="F72" s="3" t="s">
        <v>23</v>
      </c>
      <c r="G72" s="8">
        <f>SUMIF('04_Выбор_меню'!$A:$A,A72,'04_Выбор_меню'!$F:$F)</f>
        <v>0</v>
      </c>
      <c r="H72" s="8">
        <f>E72*G72</f>
        <v>0</v>
      </c>
      <c r="I72" s="3"/>
    </row>
    <row r="73" spans="1:9">
      <c r="A73" s="3" t="s">
        <v>130</v>
      </c>
      <c r="B73" s="3" t="s">
        <v>131</v>
      </c>
      <c r="C73" s="3" t="s">
        <v>67</v>
      </c>
      <c r="D73" s="3" t="s">
        <v>22</v>
      </c>
      <c r="E73" s="7">
        <v>200</v>
      </c>
      <c r="F73" s="3" t="s">
        <v>64</v>
      </c>
      <c r="G73" s="8">
        <f>SUMIF('04_Выбор_меню'!$A:$A,A73,'04_Выбор_меню'!$F:$F)</f>
        <v>0</v>
      </c>
      <c r="H73" s="8">
        <f>E73*G73</f>
        <v>0</v>
      </c>
      <c r="I73" s="3"/>
    </row>
    <row r="74" spans="1:9">
      <c r="A74" s="3" t="s">
        <v>130</v>
      </c>
      <c r="B74" s="3" t="s">
        <v>131</v>
      </c>
      <c r="C74" s="3" t="s">
        <v>68</v>
      </c>
      <c r="D74" s="3" t="s">
        <v>22</v>
      </c>
      <c r="E74" s="7">
        <v>40</v>
      </c>
      <c r="F74" s="3" t="s">
        <v>64</v>
      </c>
      <c r="G74" s="8">
        <f>SUMIF('04_Выбор_меню'!$A:$A,A74,'04_Выбор_меню'!$F:$F)</f>
        <v>0</v>
      </c>
      <c r="H74" s="8">
        <f>E74*G74</f>
        <v>0</v>
      </c>
      <c r="I74" s="3"/>
    </row>
    <row r="75" spans="1:9">
      <c r="A75" s="3" t="s">
        <v>130</v>
      </c>
      <c r="B75" s="3" t="s">
        <v>131</v>
      </c>
      <c r="C75" s="3" t="s">
        <v>58</v>
      </c>
      <c r="D75" s="3" t="s">
        <v>22</v>
      </c>
      <c r="E75" s="7">
        <v>350</v>
      </c>
      <c r="F75" s="3" t="s">
        <v>23</v>
      </c>
      <c r="G75" s="8">
        <f>SUMIF('04_Выбор_меню'!$A:$A,A75,'04_Выбор_меню'!$F:$F)</f>
        <v>0</v>
      </c>
      <c r="H75" s="8">
        <f>E75*G75</f>
        <v>0</v>
      </c>
      <c r="I75" s="3"/>
    </row>
    <row r="76" spans="1:9">
      <c r="A76" s="3" t="s">
        <v>133</v>
      </c>
      <c r="B76" s="3" t="s">
        <v>131</v>
      </c>
      <c r="C76" s="3" t="s">
        <v>31</v>
      </c>
      <c r="D76" s="3" t="s">
        <v>22</v>
      </c>
      <c r="E76" s="7">
        <v>10</v>
      </c>
      <c r="F76" s="3" t="s">
        <v>32</v>
      </c>
      <c r="G76" s="8">
        <f>SUMIF('04_Выбор_меню'!$A:$A,A76,'04_Выбор_меню'!$F:$F)</f>
        <v>0</v>
      </c>
      <c r="H76" s="8">
        <f>E76*G76</f>
        <v>0</v>
      </c>
      <c r="I76" s="3"/>
    </row>
    <row r="77" spans="1:9">
      <c r="A77" s="3" t="s">
        <v>133</v>
      </c>
      <c r="B77" s="3" t="s">
        <v>131</v>
      </c>
      <c r="C77" s="3" t="s">
        <v>58</v>
      </c>
      <c r="D77" s="3" t="s">
        <v>22</v>
      </c>
      <c r="E77" s="7">
        <v>500</v>
      </c>
      <c r="F77" s="3" t="s">
        <v>23</v>
      </c>
      <c r="G77" s="8">
        <f>SUMIF('04_Выбор_меню'!$A:$A,A77,'04_Выбор_меню'!$F:$F)</f>
        <v>0</v>
      </c>
      <c r="H77" s="8">
        <f>E77*G77</f>
        <v>0</v>
      </c>
      <c r="I77" s="3"/>
    </row>
    <row r="78" spans="1:9">
      <c r="A78" s="3" t="s">
        <v>133</v>
      </c>
      <c r="B78" s="3" t="s">
        <v>131</v>
      </c>
      <c r="C78" s="3" t="s">
        <v>69</v>
      </c>
      <c r="D78" s="3" t="s">
        <v>22</v>
      </c>
      <c r="E78" s="7">
        <v>50</v>
      </c>
      <c r="F78" s="3" t="s">
        <v>64</v>
      </c>
      <c r="G78" s="8">
        <f>SUMIF('04_Выбор_меню'!$A:$A,A78,'04_Выбор_меню'!$F:$F)</f>
        <v>0</v>
      </c>
      <c r="H78" s="8">
        <f>E78*G78</f>
        <v>0</v>
      </c>
      <c r="I78" s="3"/>
    </row>
    <row r="79" spans="1:9">
      <c r="A79" s="3" t="s">
        <v>133</v>
      </c>
      <c r="B79" s="3" t="s">
        <v>131</v>
      </c>
      <c r="C79" s="3" t="s">
        <v>68</v>
      </c>
      <c r="D79" s="3" t="s">
        <v>22</v>
      </c>
      <c r="E79" s="7">
        <v>50</v>
      </c>
      <c r="F79" s="3" t="s">
        <v>64</v>
      </c>
      <c r="G79" s="8">
        <f>SUMIF('04_Выбор_меню'!$A:$A,A79,'04_Выбор_меню'!$F:$F)</f>
        <v>0</v>
      </c>
      <c r="H79" s="8">
        <f>E79*G79</f>
        <v>0</v>
      </c>
      <c r="I79" s="3"/>
    </row>
    <row r="80" spans="1:9">
      <c r="A80" s="3" t="s">
        <v>134</v>
      </c>
      <c r="B80" s="3" t="s">
        <v>131</v>
      </c>
      <c r="C80" s="3" t="s">
        <v>70</v>
      </c>
      <c r="D80" s="3" t="s">
        <v>22</v>
      </c>
      <c r="E80" s="7">
        <v>4</v>
      </c>
      <c r="F80" s="3" t="s">
        <v>64</v>
      </c>
      <c r="G80" s="8">
        <f>SUMIF('04_Выбор_меню'!$A:$A,A80,'04_Выбор_меню'!$F:$F)</f>
        <v>0</v>
      </c>
      <c r="H80" s="8">
        <f>E80*G80</f>
        <v>0</v>
      </c>
      <c r="I80" s="3"/>
    </row>
    <row r="81" spans="1:9">
      <c r="A81" s="3" t="s">
        <v>134</v>
      </c>
      <c r="B81" s="3" t="s">
        <v>131</v>
      </c>
      <c r="C81" s="3" t="s">
        <v>66</v>
      </c>
      <c r="D81" s="3" t="s">
        <v>22</v>
      </c>
      <c r="E81" s="7">
        <v>250</v>
      </c>
      <c r="F81" s="3" t="s">
        <v>23</v>
      </c>
      <c r="G81" s="8">
        <f>SUMIF('04_Выбор_меню'!$A:$A,A81,'04_Выбор_меню'!$F:$F)</f>
        <v>0</v>
      </c>
      <c r="H81" s="8">
        <f>E81*G81</f>
        <v>0</v>
      </c>
      <c r="I81" s="3"/>
    </row>
    <row r="82" spans="1:9">
      <c r="A82" s="3" t="s">
        <v>134</v>
      </c>
      <c r="B82" s="3" t="s">
        <v>131</v>
      </c>
      <c r="C82" s="3" t="s">
        <v>71</v>
      </c>
      <c r="D82" s="3" t="s">
        <v>22</v>
      </c>
      <c r="E82" s="7">
        <v>180</v>
      </c>
      <c r="F82" s="3" t="s">
        <v>64</v>
      </c>
      <c r="G82" s="8">
        <f>SUMIF('04_Выбор_меню'!$A:$A,A82,'04_Выбор_меню'!$F:$F)</f>
        <v>0</v>
      </c>
      <c r="H82" s="8">
        <f>E82*G82</f>
        <v>0</v>
      </c>
      <c r="I82" s="3"/>
    </row>
    <row r="83" spans="1:9">
      <c r="A83" s="3" t="s">
        <v>134</v>
      </c>
      <c r="B83" s="3" t="s">
        <v>131</v>
      </c>
      <c r="C83" s="3" t="s">
        <v>68</v>
      </c>
      <c r="D83" s="3" t="s">
        <v>22</v>
      </c>
      <c r="E83" s="7">
        <v>35</v>
      </c>
      <c r="F83" s="3" t="s">
        <v>64</v>
      </c>
      <c r="G83" s="8">
        <f>SUMIF('04_Выбор_меню'!$A:$A,A83,'04_Выбор_меню'!$F:$F)</f>
        <v>0</v>
      </c>
      <c r="H83" s="8">
        <f>E83*G83</f>
        <v>0</v>
      </c>
      <c r="I83" s="3"/>
    </row>
    <row r="84" spans="1:9">
      <c r="A84" s="3" t="s">
        <v>134</v>
      </c>
      <c r="B84" s="3" t="s">
        <v>131</v>
      </c>
      <c r="C84" s="3" t="s">
        <v>58</v>
      </c>
      <c r="D84" s="3" t="s">
        <v>22</v>
      </c>
      <c r="E84" s="7">
        <v>400</v>
      </c>
      <c r="F84" s="3" t="s">
        <v>23</v>
      </c>
      <c r="G84" s="8">
        <f>SUMIF('04_Выбор_меню'!$A:$A,A84,'04_Выбор_меню'!$F:$F)</f>
        <v>0</v>
      </c>
      <c r="H84" s="8">
        <f>E84*G84</f>
        <v>0</v>
      </c>
      <c r="I84" s="3"/>
    </row>
    <row r="85" spans="1:9">
      <c r="A85" s="3" t="s">
        <v>135</v>
      </c>
      <c r="B85" s="3" t="s">
        <v>131</v>
      </c>
      <c r="C85" s="3" t="s">
        <v>67</v>
      </c>
      <c r="D85" s="3" t="s">
        <v>22</v>
      </c>
      <c r="E85" s="7">
        <v>100</v>
      </c>
      <c r="F85" s="3" t="s">
        <v>64</v>
      </c>
      <c r="G85" s="8">
        <f>SUMIF('04_Выбор_меню'!$A:$A,A85,'04_Выбор_меню'!$F:$F)</f>
        <v>0</v>
      </c>
      <c r="H85" s="8">
        <f>E85*G85</f>
        <v>0</v>
      </c>
      <c r="I85" s="3"/>
    </row>
    <row r="86" spans="1:9">
      <c r="A86" s="3" t="s">
        <v>135</v>
      </c>
      <c r="B86" s="3" t="s">
        <v>131</v>
      </c>
      <c r="C86" s="3" t="s">
        <v>58</v>
      </c>
      <c r="D86" s="3" t="s">
        <v>22</v>
      </c>
      <c r="E86" s="7">
        <v>250</v>
      </c>
      <c r="F86" s="3" t="s">
        <v>23</v>
      </c>
      <c r="G86" s="8">
        <f>SUMIF('04_Выбор_меню'!$A:$A,A86,'04_Выбор_меню'!$F:$F)</f>
        <v>0</v>
      </c>
      <c r="H86" s="8">
        <f>E86*G86</f>
        <v>0</v>
      </c>
      <c r="I86" s="3"/>
    </row>
    <row r="87" spans="1:9">
      <c r="A87" s="3" t="s">
        <v>135</v>
      </c>
      <c r="B87" s="3" t="s">
        <v>131</v>
      </c>
      <c r="C87" s="3" t="s">
        <v>68</v>
      </c>
      <c r="D87" s="3" t="s">
        <v>22</v>
      </c>
      <c r="E87" s="7">
        <v>50</v>
      </c>
      <c r="F87" s="3" t="s">
        <v>64</v>
      </c>
      <c r="G87" s="8">
        <f>SUMIF('04_Выбор_меню'!$A:$A,A87,'04_Выбор_меню'!$F:$F)</f>
        <v>0</v>
      </c>
      <c r="H87" s="8">
        <f>E87*G87</f>
        <v>0</v>
      </c>
      <c r="I87" s="3"/>
    </row>
    <row r="88" spans="1:9">
      <c r="A88" s="3" t="s">
        <v>135</v>
      </c>
      <c r="B88" s="3" t="s">
        <v>131</v>
      </c>
      <c r="C88" s="3" t="s">
        <v>72</v>
      </c>
      <c r="D88" s="3" t="s">
        <v>22</v>
      </c>
      <c r="E88" s="7">
        <v>3</v>
      </c>
      <c r="F88" s="3" t="s">
        <v>64</v>
      </c>
      <c r="G88" s="8">
        <f>SUMIF('04_Выбор_меню'!$A:$A,A88,'04_Выбор_меню'!$F:$F)</f>
        <v>0</v>
      </c>
      <c r="H88" s="8">
        <f>E88*G88</f>
        <v>0</v>
      </c>
      <c r="I88" s="3"/>
    </row>
    <row r="89" spans="1:9">
      <c r="A89" s="3" t="s">
        <v>135</v>
      </c>
      <c r="B89" s="3" t="s">
        <v>131</v>
      </c>
      <c r="C89" s="3" t="s">
        <v>66</v>
      </c>
      <c r="D89" s="3" t="s">
        <v>22</v>
      </c>
      <c r="E89" s="7">
        <v>250</v>
      </c>
      <c r="F89" s="3" t="s">
        <v>23</v>
      </c>
      <c r="G89" s="8">
        <f>SUMIF('04_Выбор_меню'!$A:$A,A89,'04_Выбор_меню'!$F:$F)</f>
        <v>0</v>
      </c>
      <c r="H89" s="8">
        <f>E89*G89</f>
        <v>0</v>
      </c>
      <c r="I89" s="3"/>
    </row>
    <row r="90" spans="1:9">
      <c r="A90" s="3" t="s">
        <v>135</v>
      </c>
      <c r="B90" s="3" t="s">
        <v>131</v>
      </c>
      <c r="C90" s="3" t="s">
        <v>73</v>
      </c>
      <c r="D90" s="3" t="s">
        <v>22</v>
      </c>
      <c r="E90" s="7">
        <v>30</v>
      </c>
      <c r="F90" s="3" t="s">
        <v>23</v>
      </c>
      <c r="G90" s="8">
        <f>SUMIF('04_Выбор_меню'!$A:$A,A90,'04_Выбор_меню'!$F:$F)</f>
        <v>0</v>
      </c>
      <c r="H90" s="8">
        <f>E90*G90</f>
        <v>0</v>
      </c>
      <c r="I90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6" max="6" width="20.7109375" customWidth="1"/>
  </cols>
  <sheetData>
    <row r="1" spans="1:6">
      <c r="A1" t="s">
        <v>37</v>
      </c>
      <c r="B1" t="s">
        <v>293</v>
      </c>
      <c r="C1" t="s">
        <v>141</v>
      </c>
      <c r="D1" t="s">
        <v>107</v>
      </c>
      <c r="E1" t="s">
        <v>294</v>
      </c>
      <c r="F1" t="s">
        <v>295</v>
      </c>
    </row>
    <row r="2" spans="1:6">
      <c r="A2" s="3" t="s">
        <v>103</v>
      </c>
      <c r="B2" s="8">
        <f>SUMIFS('05_Расход_меню'!$H:$H,'05_Расход_меню'!$C:$C,A2)</f>
        <v>0</v>
      </c>
      <c r="C2" s="3">
        <f>IFERROR(INDEX('02_Выходы_рецептов'!$D:$D,MATCH(A2,'02_Выходы_рецептов'!$A:$A,0)),"")</f>
        <v>0</v>
      </c>
      <c r="D2" s="8">
        <f>IFERROR(INDEX('02_Выходы_рецептов'!$C:$C,MATCH(A2,'02_Выходы_рецептов'!$A:$A,0)),"")</f>
        <v>0</v>
      </c>
      <c r="E2" s="8">
        <f>IF(OR(B2=0,D2=""),0,B2/D2)</f>
        <v>0</v>
      </c>
      <c r="F2" s="3">
        <f>IF(B2=0,"не используется",IF(D2="","указать выход","ок"))</f>
        <v>0</v>
      </c>
    </row>
    <row r="3" spans="1:6">
      <c r="A3" s="3" t="s">
        <v>36</v>
      </c>
      <c r="B3" s="8">
        <f>SUMIFS('05_Расход_меню'!$H:$H,'05_Расход_меню'!$C:$C,A3)</f>
        <v>0</v>
      </c>
      <c r="C3" s="3">
        <f>IFERROR(INDEX('02_Выходы_рецептов'!$D:$D,MATCH(A3,'02_Выходы_рецептов'!$A:$A,0)),"")</f>
        <v>0</v>
      </c>
      <c r="D3" s="8">
        <f>IFERROR(INDEX('02_Выходы_рецептов'!$C:$C,MATCH(A3,'02_Выходы_рецептов'!$A:$A,0)),"")</f>
        <v>0</v>
      </c>
      <c r="E3" s="8">
        <f>IF(OR(B3=0,D3=""),0,B3/D3)</f>
        <v>0</v>
      </c>
      <c r="F3" s="3">
        <f>IF(B3=0,"не используется",IF(D3="","указать выход","ок"))</f>
        <v>0</v>
      </c>
    </row>
    <row r="4" spans="1:6">
      <c r="A4" s="3" t="s">
        <v>38</v>
      </c>
      <c r="B4" s="8">
        <f>SUMIFS('05_Расход_меню'!$H:$H,'05_Расход_меню'!$C:$C,A4)</f>
        <v>0</v>
      </c>
      <c r="C4" s="3">
        <f>IFERROR(INDEX('02_Выходы_рецептов'!$D:$D,MATCH(A4,'02_Выходы_рецептов'!$A:$A,0)),"")</f>
        <v>0</v>
      </c>
      <c r="D4" s="8">
        <f>IFERROR(INDEX('02_Выходы_рецептов'!$C:$C,MATCH(A4,'02_Выходы_рецептов'!$A:$A,0)),"")</f>
        <v>0</v>
      </c>
      <c r="E4" s="8">
        <f>IF(OR(B4=0,D4=""),0,B4/D4)</f>
        <v>0</v>
      </c>
      <c r="F4" s="3">
        <f>IF(B4=0,"не используется",IF(D4="","указать выход","ок"))</f>
        <v>0</v>
      </c>
    </row>
    <row r="5" spans="1:6">
      <c r="A5" s="3" t="s">
        <v>41</v>
      </c>
      <c r="B5" s="8">
        <f>SUMIFS('05_Расход_меню'!$H:$H,'05_Расход_меню'!$C:$C,A5)</f>
        <v>0</v>
      </c>
      <c r="C5" s="3">
        <f>IFERROR(INDEX('02_Выходы_рецептов'!$D:$D,MATCH(A5,'02_Выходы_рецептов'!$A:$A,0)),"")</f>
        <v>0</v>
      </c>
      <c r="D5" s="8">
        <f>IFERROR(INDEX('02_Выходы_рецептов'!$C:$C,MATCH(A5,'02_Выходы_рецептов'!$A:$A,0)),"")</f>
        <v>0</v>
      </c>
      <c r="E5" s="8">
        <f>IF(OR(B5=0,D5=""),0,B5/D5)</f>
        <v>0</v>
      </c>
      <c r="F5" s="3">
        <f>IF(B5=0,"не используется",IF(D5="","указать выход","ок"))</f>
        <v>0</v>
      </c>
    </row>
    <row r="6" spans="1:6">
      <c r="A6" s="3" t="s">
        <v>49</v>
      </c>
      <c r="B6" s="8">
        <f>SUMIFS('05_Расход_меню'!$H:$H,'05_Расход_меню'!$C:$C,A6)</f>
        <v>0</v>
      </c>
      <c r="C6" s="3">
        <f>IFERROR(INDEX('02_Выходы_рецептов'!$D:$D,MATCH(A6,'02_Выходы_рецептов'!$A:$A,0)),"")</f>
        <v>0</v>
      </c>
      <c r="D6" s="8">
        <f>IFERROR(INDEX('02_Выходы_рецептов'!$C:$C,MATCH(A6,'02_Выходы_рецептов'!$A:$A,0)),"")</f>
        <v>0</v>
      </c>
      <c r="E6" s="8">
        <f>IF(OR(B6=0,D6=""),0,B6/D6)</f>
        <v>0</v>
      </c>
      <c r="F6" s="3">
        <f>IF(B6=0,"не используется",IF(D6="","указать выход","ок"))</f>
        <v>0</v>
      </c>
    </row>
    <row r="7" spans="1:6">
      <c r="A7" s="3" t="s">
        <v>50</v>
      </c>
      <c r="B7" s="8">
        <f>SUMIFS('05_Расход_меню'!$H:$H,'05_Расход_меню'!$C:$C,A7)</f>
        <v>0</v>
      </c>
      <c r="C7" s="3">
        <f>IFERROR(INDEX('02_Выходы_рецептов'!$D:$D,MATCH(A7,'02_Выходы_рецептов'!$A:$A,0)),"")</f>
        <v>0</v>
      </c>
      <c r="D7" s="8">
        <f>IFERROR(INDEX('02_Выходы_рецептов'!$C:$C,MATCH(A7,'02_Выходы_рецептов'!$A:$A,0)),"")</f>
        <v>0</v>
      </c>
      <c r="E7" s="8">
        <f>IF(OR(B7=0,D7=""),0,B7/D7)</f>
        <v>0</v>
      </c>
      <c r="F7" s="3">
        <f>IF(B7=0,"не используется",IF(D7="","указать выход","ок"))</f>
        <v>0</v>
      </c>
    </row>
    <row r="8" spans="1:6">
      <c r="A8" s="3" t="s">
        <v>57</v>
      </c>
      <c r="B8" s="8">
        <f>SUMIFS('05_Расход_меню'!$H:$H,'05_Расход_меню'!$C:$C,A8)</f>
        <v>0</v>
      </c>
      <c r="C8" s="3">
        <f>IFERROR(INDEX('02_Выходы_рецептов'!$D:$D,MATCH(A8,'02_Выходы_рецептов'!$A:$A,0)),"")</f>
        <v>0</v>
      </c>
      <c r="D8" s="8">
        <f>IFERROR(INDEX('02_Выходы_рецептов'!$C:$C,MATCH(A8,'02_Выходы_рецептов'!$A:$A,0)),"")</f>
        <v>0</v>
      </c>
      <c r="E8" s="8">
        <f>IF(OR(B8=0,D8=""),0,B8/D8)</f>
        <v>0</v>
      </c>
      <c r="F8" s="3">
        <f>IF(B8=0,"не используется",IF(D8="","указать выход","ок"))</f>
        <v>0</v>
      </c>
    </row>
    <row r="9" spans="1:6">
      <c r="A9" s="3" t="s">
        <v>53</v>
      </c>
      <c r="B9" s="8">
        <f>SUMIFS('05_Расход_меню'!$H:$H,'05_Расход_меню'!$C:$C,A9)</f>
        <v>0</v>
      </c>
      <c r="C9" s="3">
        <f>IFERROR(INDEX('02_Выходы_рецептов'!$D:$D,MATCH(A9,'02_Выходы_рецептов'!$A:$A,0)),"")</f>
        <v>0</v>
      </c>
      <c r="D9" s="8">
        <f>IFERROR(INDEX('02_Выходы_рецептов'!$C:$C,MATCH(A9,'02_Выходы_рецептов'!$A:$A,0)),"")</f>
        <v>0</v>
      </c>
      <c r="E9" s="8">
        <f>IF(OR(B9=0,D9=""),0,B9/D9)</f>
        <v>0</v>
      </c>
      <c r="F9" s="3">
        <f>IF(B9=0,"не используется",IF(D9="","указать выход","ок"))</f>
        <v>0</v>
      </c>
    </row>
    <row r="10" spans="1:6">
      <c r="A10" s="3" t="s">
        <v>47</v>
      </c>
      <c r="B10" s="8">
        <f>SUMIFS('05_Расход_меню'!$H:$H,'05_Расход_меню'!$C:$C,A10)</f>
        <v>0</v>
      </c>
      <c r="C10" s="3">
        <f>IFERROR(INDEX('02_Выходы_рецептов'!$D:$D,MATCH(A10,'02_Выходы_рецептов'!$A:$A,0)),"")</f>
        <v>0</v>
      </c>
      <c r="D10" s="8">
        <f>IFERROR(INDEX('02_Выходы_рецептов'!$C:$C,MATCH(A10,'02_Выходы_рецептов'!$A:$A,0)),"")</f>
        <v>0</v>
      </c>
      <c r="E10" s="8">
        <f>IF(OR(B10=0,D10=""),0,B10/D10)</f>
        <v>0</v>
      </c>
      <c r="F10" s="3">
        <f>IF(B10=0,"не используется",IF(D10="","указать выход","ок"))</f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4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8.7109375" customWidth="1"/>
    <col min="8" max="8" width="38.7109375" customWidth="1"/>
  </cols>
  <sheetData>
    <row r="1" spans="1:8">
      <c r="A1" t="s">
        <v>37</v>
      </c>
      <c r="B1" t="s">
        <v>138</v>
      </c>
      <c r="C1" t="s">
        <v>139</v>
      </c>
      <c r="D1" t="s">
        <v>290</v>
      </c>
      <c r="E1" t="s">
        <v>141</v>
      </c>
      <c r="F1" t="s">
        <v>294</v>
      </c>
      <c r="G1" t="s">
        <v>292</v>
      </c>
      <c r="H1" t="s">
        <v>20</v>
      </c>
    </row>
    <row r="2" spans="1:8">
      <c r="A2" s="3" t="s">
        <v>103</v>
      </c>
      <c r="B2" s="3" t="s">
        <v>74</v>
      </c>
      <c r="C2" s="3" t="s">
        <v>22</v>
      </c>
      <c r="D2" s="7">
        <v>10</v>
      </c>
      <c r="E2" s="3" t="s">
        <v>64</v>
      </c>
      <c r="F2" s="8">
        <f>SUMIF('06_Нужно_заготовок'!$A:$A,A2,'06_Нужно_заготовок'!$E:$E)</f>
        <v>0</v>
      </c>
      <c r="G2" s="8">
        <f>D2*F2</f>
        <v>0</v>
      </c>
      <c r="H2" s="3"/>
    </row>
    <row r="3" spans="1:8">
      <c r="A3" s="3" t="s">
        <v>103</v>
      </c>
      <c r="B3" s="3" t="s">
        <v>66</v>
      </c>
      <c r="C3" s="3" t="s">
        <v>22</v>
      </c>
      <c r="D3" s="7">
        <v>1000</v>
      </c>
      <c r="E3" s="3" t="s">
        <v>23</v>
      </c>
      <c r="F3" s="8">
        <f>SUMIF('06_Нужно_заготовок'!$A:$A,A3,'06_Нужно_заготовок'!$E:$E)</f>
        <v>0</v>
      </c>
      <c r="G3" s="8">
        <f>D3*F3</f>
        <v>0</v>
      </c>
      <c r="H3" s="3"/>
    </row>
    <row r="4" spans="1:8">
      <c r="A4" s="3" t="s">
        <v>103</v>
      </c>
      <c r="B4" s="3" t="s">
        <v>75</v>
      </c>
      <c r="C4" s="3" t="s">
        <v>22</v>
      </c>
      <c r="D4" s="7">
        <v>2.5</v>
      </c>
      <c r="E4" s="3" t="s">
        <v>23</v>
      </c>
      <c r="F4" s="8">
        <f>SUMIF('06_Нужно_заготовок'!$A:$A,A4,'06_Нужно_заготовок'!$E:$E)</f>
        <v>0</v>
      </c>
      <c r="G4" s="8">
        <f>D4*F4</f>
        <v>0</v>
      </c>
      <c r="H4" s="3"/>
    </row>
    <row r="5" spans="1:8">
      <c r="A5" s="3" t="s">
        <v>103</v>
      </c>
      <c r="B5" s="3" t="s">
        <v>76</v>
      </c>
      <c r="C5" s="3" t="s">
        <v>22</v>
      </c>
      <c r="D5" s="7">
        <v>0.3</v>
      </c>
      <c r="E5" s="3" t="s">
        <v>64</v>
      </c>
      <c r="F5" s="8">
        <f>SUMIF('06_Нужно_заготовок'!$A:$A,A5,'06_Нужно_заготовок'!$E:$E)</f>
        <v>0</v>
      </c>
      <c r="G5" s="8">
        <f>D5*F5</f>
        <v>0</v>
      </c>
      <c r="H5" s="3"/>
    </row>
    <row r="6" spans="1:8">
      <c r="A6" s="3" t="s">
        <v>103</v>
      </c>
      <c r="B6" s="3" t="s">
        <v>77</v>
      </c>
      <c r="C6" s="3" t="s">
        <v>22</v>
      </c>
      <c r="D6" s="7">
        <v>1.5</v>
      </c>
      <c r="E6" s="3" t="s">
        <v>64</v>
      </c>
      <c r="F6" s="8">
        <f>SUMIF('06_Нужно_заготовок'!$A:$A,A6,'06_Нужно_заготовок'!$E:$E)</f>
        <v>0</v>
      </c>
      <c r="G6" s="8">
        <f>D6*F6</f>
        <v>0</v>
      </c>
      <c r="H6" s="3"/>
    </row>
    <row r="7" spans="1:8">
      <c r="A7" s="3" t="s">
        <v>36</v>
      </c>
      <c r="B7" s="3" t="s">
        <v>67</v>
      </c>
      <c r="C7" s="3" t="s">
        <v>22</v>
      </c>
      <c r="D7" s="7">
        <v>140</v>
      </c>
      <c r="E7" s="3" t="s">
        <v>64</v>
      </c>
      <c r="F7" s="8">
        <f>SUMIF('06_Нужно_заготовок'!$A:$A,A7,'06_Нужно_заготовок'!$E:$E)</f>
        <v>0</v>
      </c>
      <c r="G7" s="8">
        <f>D7*F7</f>
        <v>0</v>
      </c>
      <c r="H7" s="3"/>
    </row>
    <row r="8" spans="1:8">
      <c r="A8" s="3" t="s">
        <v>36</v>
      </c>
      <c r="B8" s="3" t="s">
        <v>78</v>
      </c>
      <c r="C8" s="3" t="s">
        <v>22</v>
      </c>
      <c r="D8" s="7">
        <v>140</v>
      </c>
      <c r="E8" s="3" t="s">
        <v>64</v>
      </c>
      <c r="F8" s="8">
        <f>SUMIF('06_Нужно_заготовок'!$A:$A,A8,'06_Нужно_заготовок'!$E:$E)</f>
        <v>0</v>
      </c>
      <c r="G8" s="8">
        <f>D8*F8</f>
        <v>0</v>
      </c>
      <c r="H8" s="3"/>
    </row>
    <row r="9" spans="1:8">
      <c r="A9" s="3" t="s">
        <v>38</v>
      </c>
      <c r="B9" s="3" t="s">
        <v>79</v>
      </c>
      <c r="C9" s="3" t="s">
        <v>22</v>
      </c>
      <c r="D9" s="7">
        <v>1000</v>
      </c>
      <c r="E9" s="3" t="s">
        <v>64</v>
      </c>
      <c r="F9" s="8">
        <f>SUMIF('06_Нужно_заготовок'!$A:$A,A9,'06_Нужно_заготовок'!$E:$E)</f>
        <v>0</v>
      </c>
      <c r="G9" s="8">
        <f>D9*F9</f>
        <v>0</v>
      </c>
      <c r="H9" s="3"/>
    </row>
    <row r="10" spans="1:8">
      <c r="A10" s="3" t="s">
        <v>38</v>
      </c>
      <c r="B10" s="3" t="s">
        <v>68</v>
      </c>
      <c r="C10" s="3" t="s">
        <v>22</v>
      </c>
      <c r="D10" s="9"/>
      <c r="E10" s="3" t="s">
        <v>64</v>
      </c>
      <c r="F10" s="8">
        <f>SUMIF('06_Нужно_заготовок'!$A:$A,A10,'06_Нужно_заготовок'!$E:$E)</f>
        <v>0</v>
      </c>
      <c r="G10" s="9"/>
      <c r="H10" s="5" t="s">
        <v>246</v>
      </c>
    </row>
    <row r="11" spans="1:8">
      <c r="A11" s="3" t="s">
        <v>38</v>
      </c>
      <c r="B11" s="3" t="s">
        <v>66</v>
      </c>
      <c r="C11" s="3" t="s">
        <v>22</v>
      </c>
      <c r="D11" s="9"/>
      <c r="E11" s="3" t="s">
        <v>23</v>
      </c>
      <c r="F11" s="8">
        <f>SUMIF('06_Нужно_заготовок'!$A:$A,A11,'06_Нужно_заготовок'!$E:$E)</f>
        <v>0</v>
      </c>
      <c r="G11" s="9"/>
      <c r="H11" s="5" t="s">
        <v>246</v>
      </c>
    </row>
    <row r="12" spans="1:8">
      <c r="A12" s="3" t="s">
        <v>41</v>
      </c>
      <c r="B12" s="3" t="s">
        <v>80</v>
      </c>
      <c r="C12" s="3" t="s">
        <v>22</v>
      </c>
      <c r="D12" s="7">
        <v>25</v>
      </c>
      <c r="E12" s="3"/>
      <c r="F12" s="8">
        <f>SUMIF('06_Нужно_заготовок'!$A:$A,A12,'06_Нужно_заготовок'!$E:$E)</f>
        <v>0</v>
      </c>
      <c r="G12" s="8">
        <f>D12*F12</f>
        <v>0</v>
      </c>
      <c r="H12" s="3"/>
    </row>
    <row r="13" spans="1:8">
      <c r="A13" s="3" t="s">
        <v>41</v>
      </c>
      <c r="B13" s="3" t="s">
        <v>45</v>
      </c>
      <c r="C13" s="3" t="s">
        <v>22</v>
      </c>
      <c r="D13" s="7">
        <v>400</v>
      </c>
      <c r="E13" s="3" t="s">
        <v>23</v>
      </c>
      <c r="F13" s="8">
        <f>SUMIF('06_Нужно_заготовок'!$A:$A,A13,'06_Нужно_заготовок'!$E:$E)</f>
        <v>0</v>
      </c>
      <c r="G13" s="8">
        <f>D13*F13</f>
        <v>0</v>
      </c>
      <c r="H13" s="3"/>
    </row>
    <row r="14" spans="1:8">
      <c r="A14" s="3" t="s">
        <v>41</v>
      </c>
      <c r="B14" s="3" t="s">
        <v>73</v>
      </c>
      <c r="C14" s="3" t="s">
        <v>22</v>
      </c>
      <c r="D14" s="7">
        <v>600</v>
      </c>
      <c r="E14" s="3" t="s">
        <v>23</v>
      </c>
      <c r="F14" s="8">
        <f>SUMIF('06_Нужно_заготовок'!$A:$A,A14,'06_Нужно_заготовок'!$E:$E)</f>
        <v>0</v>
      </c>
      <c r="G14" s="8">
        <f>D14*F14</f>
        <v>0</v>
      </c>
      <c r="H14" s="3"/>
    </row>
    <row r="15" spans="1:8">
      <c r="A15" s="3" t="s">
        <v>49</v>
      </c>
      <c r="B15" s="3" t="s">
        <v>81</v>
      </c>
      <c r="C15" s="3" t="s">
        <v>22</v>
      </c>
      <c r="D15" s="7">
        <v>500</v>
      </c>
      <c r="E15" s="3" t="s">
        <v>64</v>
      </c>
      <c r="F15" s="8">
        <f>SUMIF('06_Нужно_заготовок'!$A:$A,A15,'06_Нужно_заготовок'!$E:$E)</f>
        <v>0</v>
      </c>
      <c r="G15" s="8">
        <f>D15*F15</f>
        <v>0</v>
      </c>
      <c r="H15" s="3"/>
    </row>
    <row r="16" spans="1:8">
      <c r="A16" s="3" t="s">
        <v>49</v>
      </c>
      <c r="B16" s="3" t="s">
        <v>82</v>
      </c>
      <c r="C16" s="3" t="s">
        <v>22</v>
      </c>
      <c r="D16" s="7">
        <v>50</v>
      </c>
      <c r="E16" s="3" t="s">
        <v>64</v>
      </c>
      <c r="F16" s="8">
        <f>SUMIF('06_Нужно_заготовок'!$A:$A,A16,'06_Нужно_заготовок'!$E:$E)</f>
        <v>0</v>
      </c>
      <c r="G16" s="8">
        <f>D16*F16</f>
        <v>0</v>
      </c>
      <c r="H16" s="3"/>
    </row>
    <row r="17" spans="1:8">
      <c r="A17" s="3" t="s">
        <v>49</v>
      </c>
      <c r="B17" s="3" t="s">
        <v>83</v>
      </c>
      <c r="C17" s="3" t="s">
        <v>22</v>
      </c>
      <c r="D17" s="7">
        <v>500</v>
      </c>
      <c r="E17" s="3" t="s">
        <v>23</v>
      </c>
      <c r="F17" s="8">
        <f>SUMIF('06_Нужно_заготовок'!$A:$A,A17,'06_Нужно_заготовок'!$E:$E)</f>
        <v>0</v>
      </c>
      <c r="G17" s="8">
        <f>D17*F17</f>
        <v>0</v>
      </c>
      <c r="H17" s="3"/>
    </row>
    <row r="18" spans="1:8">
      <c r="A18" s="3" t="s">
        <v>49</v>
      </c>
      <c r="B18" s="3" t="s">
        <v>68</v>
      </c>
      <c r="C18" s="3" t="s">
        <v>22</v>
      </c>
      <c r="D18" s="7">
        <v>300</v>
      </c>
      <c r="E18" s="3" t="s">
        <v>64</v>
      </c>
      <c r="F18" s="8">
        <f>SUMIF('06_Нужно_заготовок'!$A:$A,A18,'06_Нужно_заготовок'!$E:$E)</f>
        <v>0</v>
      </c>
      <c r="G18" s="8">
        <f>D18*F18</f>
        <v>0</v>
      </c>
      <c r="H18" s="3"/>
    </row>
    <row r="19" spans="1:8">
      <c r="A19" s="3" t="s">
        <v>49</v>
      </c>
      <c r="B19" s="3" t="s">
        <v>84</v>
      </c>
      <c r="C19" s="3" t="s">
        <v>22</v>
      </c>
      <c r="D19" s="7">
        <v>1</v>
      </c>
      <c r="E19" s="3" t="s">
        <v>64</v>
      </c>
      <c r="F19" s="8">
        <f>SUMIF('06_Нужно_заготовок'!$A:$A,A19,'06_Нужно_заготовок'!$E:$E)</f>
        <v>0</v>
      </c>
      <c r="G19" s="8">
        <f>D19*F19</f>
        <v>0</v>
      </c>
      <c r="H19" s="3"/>
    </row>
    <row r="20" spans="1:8">
      <c r="A20" s="3" t="s">
        <v>50</v>
      </c>
      <c r="B20" s="3" t="s">
        <v>85</v>
      </c>
      <c r="C20" s="3" t="s">
        <v>22</v>
      </c>
      <c r="D20" s="7">
        <v>3</v>
      </c>
      <c r="E20" s="3" t="s">
        <v>86</v>
      </c>
      <c r="F20" s="8">
        <f>SUMIF('06_Нужно_заготовок'!$A:$A,A20,'06_Нужно_заготовок'!$E:$E)</f>
        <v>0</v>
      </c>
      <c r="G20" s="8">
        <f>D20*F20</f>
        <v>0</v>
      </c>
      <c r="H20" s="3"/>
    </row>
    <row r="21" spans="1:8">
      <c r="A21" s="3" t="s">
        <v>50</v>
      </c>
      <c r="B21" s="3" t="s">
        <v>87</v>
      </c>
      <c r="C21" s="3" t="s">
        <v>22</v>
      </c>
      <c r="D21" s="7">
        <v>4</v>
      </c>
      <c r="E21" s="3" t="s">
        <v>86</v>
      </c>
      <c r="F21" s="8">
        <f>SUMIF('06_Нужно_заготовок'!$A:$A,A21,'06_Нужно_заготовок'!$E:$E)</f>
        <v>0</v>
      </c>
      <c r="G21" s="8">
        <f>D21*F21</f>
        <v>0</v>
      </c>
      <c r="H21" s="3"/>
    </row>
    <row r="22" spans="1:8">
      <c r="A22" s="3" t="s">
        <v>50</v>
      </c>
      <c r="B22" s="3" t="s">
        <v>88</v>
      </c>
      <c r="C22" s="3" t="s">
        <v>22</v>
      </c>
      <c r="D22" s="7">
        <v>2</v>
      </c>
      <c r="E22" s="3" t="s">
        <v>86</v>
      </c>
      <c r="F22" s="8">
        <f>SUMIF('06_Нужно_заготовок'!$A:$A,A22,'06_Нужно_заготовок'!$E:$E)</f>
        <v>0</v>
      </c>
      <c r="G22" s="8">
        <f>D22*F22</f>
        <v>0</v>
      </c>
      <c r="H22" s="3"/>
    </row>
    <row r="23" spans="1:8">
      <c r="A23" s="3" t="s">
        <v>50</v>
      </c>
      <c r="B23" s="3" t="s">
        <v>71</v>
      </c>
      <c r="C23" s="3" t="s">
        <v>22</v>
      </c>
      <c r="D23" s="7">
        <v>100</v>
      </c>
      <c r="E23" s="3" t="s">
        <v>64</v>
      </c>
      <c r="F23" s="8">
        <f>SUMIF('06_Нужно_заготовок'!$A:$A,A23,'06_Нужно_заготовок'!$E:$E)</f>
        <v>0</v>
      </c>
      <c r="G23" s="8">
        <f>D23*F23</f>
        <v>0</v>
      </c>
      <c r="H23" s="3"/>
    </row>
    <row r="24" spans="1:8">
      <c r="A24" s="3" t="s">
        <v>50</v>
      </c>
      <c r="B24" s="3" t="s">
        <v>35</v>
      </c>
      <c r="C24" s="3" t="s">
        <v>22</v>
      </c>
      <c r="D24" s="7">
        <v>100</v>
      </c>
      <c r="E24" s="3" t="s">
        <v>23</v>
      </c>
      <c r="F24" s="8">
        <f>SUMIF('06_Нужно_заготовок'!$A:$A,A24,'06_Нужно_заготовок'!$E:$E)</f>
        <v>0</v>
      </c>
      <c r="G24" s="8">
        <f>D24*F24</f>
        <v>0</v>
      </c>
      <c r="H24" s="3"/>
    </row>
    <row r="25" spans="1:8">
      <c r="A25" s="3" t="s">
        <v>50</v>
      </c>
      <c r="B25" s="3" t="s">
        <v>58</v>
      </c>
      <c r="C25" s="3" t="s">
        <v>22</v>
      </c>
      <c r="D25" s="7">
        <v>100</v>
      </c>
      <c r="E25" s="3" t="s">
        <v>23</v>
      </c>
      <c r="F25" s="8">
        <f>SUMIF('06_Нужно_заготовок'!$A:$A,A25,'06_Нужно_заготовок'!$E:$E)</f>
        <v>0</v>
      </c>
      <c r="G25" s="8">
        <f>D25*F25</f>
        <v>0</v>
      </c>
      <c r="H25" s="3"/>
    </row>
    <row r="26" spans="1:8">
      <c r="A26" s="3" t="s">
        <v>50</v>
      </c>
      <c r="B26" s="3" t="s">
        <v>89</v>
      </c>
      <c r="C26" s="3" t="s">
        <v>22</v>
      </c>
      <c r="D26" s="7">
        <v>120</v>
      </c>
      <c r="E26" s="3" t="s">
        <v>23</v>
      </c>
      <c r="F26" s="8">
        <f>SUMIF('06_Нужно_заготовок'!$A:$A,A26,'06_Нужно_заготовок'!$E:$E)</f>
        <v>0</v>
      </c>
      <c r="G26" s="8">
        <f>D26*F26</f>
        <v>0</v>
      </c>
      <c r="H26" s="3"/>
    </row>
    <row r="27" spans="1:8">
      <c r="A27" s="3" t="s">
        <v>50</v>
      </c>
      <c r="B27" s="3" t="s">
        <v>82</v>
      </c>
      <c r="C27" s="3" t="s">
        <v>22</v>
      </c>
      <c r="D27" s="7">
        <v>1</v>
      </c>
      <c r="E27" s="3" t="s">
        <v>64</v>
      </c>
      <c r="F27" s="8">
        <f>SUMIF('06_Нужно_заготовок'!$A:$A,A27,'06_Нужно_заготовок'!$E:$E)</f>
        <v>0</v>
      </c>
      <c r="G27" s="8">
        <f>D27*F27</f>
        <v>0</v>
      </c>
      <c r="H27" s="3"/>
    </row>
    <row r="28" spans="1:8">
      <c r="A28" s="3" t="s">
        <v>57</v>
      </c>
      <c r="B28" s="3" t="s">
        <v>90</v>
      </c>
      <c r="C28" s="3" t="s">
        <v>22</v>
      </c>
      <c r="D28" s="7">
        <v>150</v>
      </c>
      <c r="E28" s="3" t="s">
        <v>64</v>
      </c>
      <c r="F28" s="8">
        <f>SUMIF('06_Нужно_заготовок'!$A:$A,A28,'06_Нужно_заготовок'!$E:$E)</f>
        <v>0</v>
      </c>
      <c r="G28" s="8">
        <f>D28*F28</f>
        <v>0</v>
      </c>
      <c r="H28" s="3"/>
    </row>
    <row r="29" spans="1:8">
      <c r="A29" s="3" t="s">
        <v>57</v>
      </c>
      <c r="B29" s="3" t="s">
        <v>91</v>
      </c>
      <c r="C29" s="3" t="s">
        <v>22</v>
      </c>
      <c r="D29" s="7">
        <v>10</v>
      </c>
      <c r="E29" s="3" t="s">
        <v>64</v>
      </c>
      <c r="F29" s="8">
        <f>SUMIF('06_Нужно_заготовок'!$A:$A,A29,'06_Нужно_заготовок'!$E:$E)</f>
        <v>0</v>
      </c>
      <c r="G29" s="8">
        <f>D29*F29</f>
        <v>0</v>
      </c>
      <c r="H29" s="3"/>
    </row>
    <row r="30" spans="1:8">
      <c r="A30" s="3" t="s">
        <v>57</v>
      </c>
      <c r="B30" s="3" t="s">
        <v>92</v>
      </c>
      <c r="C30" s="3" t="s">
        <v>22</v>
      </c>
      <c r="D30" s="7">
        <v>10</v>
      </c>
      <c r="E30" s="3" t="s">
        <v>64</v>
      </c>
      <c r="F30" s="8">
        <f>SUMIF('06_Нужно_заготовок'!$A:$A,A30,'06_Нужно_заготовок'!$E:$E)</f>
        <v>0</v>
      </c>
      <c r="G30" s="8">
        <f>D30*F30</f>
        <v>0</v>
      </c>
      <c r="H30" s="3"/>
    </row>
    <row r="31" spans="1:8">
      <c r="A31" s="3" t="s">
        <v>57</v>
      </c>
      <c r="B31" s="3" t="s">
        <v>66</v>
      </c>
      <c r="C31" s="3" t="s">
        <v>22</v>
      </c>
      <c r="D31" s="7">
        <v>500</v>
      </c>
      <c r="E31" s="3" t="s">
        <v>23</v>
      </c>
      <c r="F31" s="8">
        <f>SUMIF('06_Нужно_заготовок'!$A:$A,A31,'06_Нужно_заготовок'!$E:$E)</f>
        <v>0</v>
      </c>
      <c r="G31" s="8">
        <f>D31*F31</f>
        <v>0</v>
      </c>
      <c r="H31" s="3"/>
    </row>
    <row r="32" spans="1:8">
      <c r="A32" s="3" t="s">
        <v>53</v>
      </c>
      <c r="B32" s="3" t="s">
        <v>67</v>
      </c>
      <c r="C32" s="3" t="s">
        <v>22</v>
      </c>
      <c r="D32" s="7">
        <v>170</v>
      </c>
      <c r="E32" s="3" t="s">
        <v>64</v>
      </c>
      <c r="F32" s="8">
        <f>SUMIF('06_Нужно_заготовок'!$A:$A,A32,'06_Нужно_заготовок'!$E:$E)</f>
        <v>0</v>
      </c>
      <c r="G32" s="8">
        <f>D32*F32</f>
        <v>0</v>
      </c>
      <c r="H32" s="3"/>
    </row>
    <row r="33" spans="1:8">
      <c r="A33" s="3" t="s">
        <v>53</v>
      </c>
      <c r="B33" s="3" t="s">
        <v>68</v>
      </c>
      <c r="C33" s="3" t="s">
        <v>22</v>
      </c>
      <c r="D33" s="7">
        <v>170</v>
      </c>
      <c r="E33" s="3" t="s">
        <v>64</v>
      </c>
      <c r="F33" s="8">
        <f>SUMIF('06_Нужно_заготовок'!$A:$A,A33,'06_Нужно_заготовок'!$E:$E)</f>
        <v>0</v>
      </c>
      <c r="G33" s="8">
        <f>D33*F33</f>
        <v>0</v>
      </c>
      <c r="H33" s="3"/>
    </row>
    <row r="34" spans="1:8">
      <c r="A34" s="3" t="s">
        <v>53</v>
      </c>
      <c r="B34" s="3" t="s">
        <v>66</v>
      </c>
      <c r="C34" s="3" t="s">
        <v>22</v>
      </c>
      <c r="D34" s="7">
        <v>170</v>
      </c>
      <c r="E34" s="3" t="s">
        <v>23</v>
      </c>
      <c r="F34" s="8">
        <f>SUMIF('06_Нужно_заготовок'!$A:$A,A34,'06_Нужно_заготовок'!$E:$E)</f>
        <v>0</v>
      </c>
      <c r="G34" s="8">
        <f>D34*F34</f>
        <v>0</v>
      </c>
      <c r="H34" s="3"/>
    </row>
    <row r="35" spans="1:8">
      <c r="A35" s="3" t="s">
        <v>53</v>
      </c>
      <c r="B35" s="3" t="s">
        <v>93</v>
      </c>
      <c r="C35" s="3" t="s">
        <v>22</v>
      </c>
      <c r="D35" s="7">
        <v>46082</v>
      </c>
      <c r="E35" s="3" t="s">
        <v>64</v>
      </c>
      <c r="F35" s="8">
        <f>SUMIF('06_Нужно_заготовок'!$A:$A,A35,'06_Нужно_заготовок'!$E:$E)</f>
        <v>0</v>
      </c>
      <c r="G35" s="8">
        <f>D35*F35</f>
        <v>0</v>
      </c>
      <c r="H35" s="3"/>
    </row>
    <row r="36" spans="1:8">
      <c r="A36" s="3" t="s">
        <v>53</v>
      </c>
      <c r="B36" s="3" t="s">
        <v>94</v>
      </c>
      <c r="C36" s="3" t="s">
        <v>22</v>
      </c>
      <c r="D36" s="7">
        <v>15</v>
      </c>
      <c r="E36" s="3" t="s">
        <v>64</v>
      </c>
      <c r="F36" s="8">
        <f>SUMIF('06_Нужно_заготовок'!$A:$A,A36,'06_Нужно_заготовок'!$E:$E)</f>
        <v>0</v>
      </c>
      <c r="G36" s="8">
        <f>D36*F36</f>
        <v>0</v>
      </c>
      <c r="H36" s="3"/>
    </row>
    <row r="37" spans="1:8">
      <c r="A37" s="3" t="s">
        <v>53</v>
      </c>
      <c r="B37" s="3" t="s">
        <v>95</v>
      </c>
      <c r="C37" s="3" t="s">
        <v>22</v>
      </c>
      <c r="D37" s="7">
        <v>0.8</v>
      </c>
      <c r="E37" s="3" t="s">
        <v>64</v>
      </c>
      <c r="F37" s="8">
        <f>SUMIF('06_Нужно_заготовок'!$A:$A,A37,'06_Нужно_заготовок'!$E:$E)</f>
        <v>0</v>
      </c>
      <c r="G37" s="8">
        <f>D37*F37</f>
        <v>0</v>
      </c>
      <c r="H37" s="3"/>
    </row>
    <row r="38" spans="1:8">
      <c r="A38" s="3" t="s">
        <v>53</v>
      </c>
      <c r="B38" s="3" t="s">
        <v>96</v>
      </c>
      <c r="C38" s="3" t="s">
        <v>22</v>
      </c>
      <c r="D38" s="7">
        <v>2</v>
      </c>
      <c r="E38" s="3" t="s">
        <v>64</v>
      </c>
      <c r="F38" s="8">
        <f>SUMIF('06_Нужно_заготовок'!$A:$A,A38,'06_Нужно_заготовок'!$E:$E)</f>
        <v>0</v>
      </c>
      <c r="G38" s="8">
        <f>D38*F38</f>
        <v>0</v>
      </c>
      <c r="H38" s="3"/>
    </row>
    <row r="39" spans="1:8">
      <c r="A39" s="3" t="s">
        <v>53</v>
      </c>
      <c r="B39" s="3" t="s">
        <v>97</v>
      </c>
      <c r="C39" s="3" t="s">
        <v>22</v>
      </c>
      <c r="D39" s="7">
        <v>100</v>
      </c>
      <c r="E39" s="3" t="s">
        <v>23</v>
      </c>
      <c r="F39" s="8">
        <f>SUMIF('06_Нужно_заготовок'!$A:$A,A39,'06_Нужно_заготовок'!$E:$E)</f>
        <v>0</v>
      </c>
      <c r="G39" s="8">
        <f>D39*F39</f>
        <v>0</v>
      </c>
      <c r="H39" s="3"/>
    </row>
    <row r="40" spans="1:8">
      <c r="A40" s="3" t="s">
        <v>53</v>
      </c>
      <c r="B40" s="3" t="s">
        <v>58</v>
      </c>
      <c r="C40" s="3" t="s">
        <v>22</v>
      </c>
      <c r="D40" s="7">
        <v>25</v>
      </c>
      <c r="E40" s="3" t="s">
        <v>23</v>
      </c>
      <c r="F40" s="8">
        <f>SUMIF('06_Нужно_заготовок'!$A:$A,A40,'06_Нужно_заготовок'!$E:$E)</f>
        <v>0</v>
      </c>
      <c r="G40" s="8">
        <f>D40*F40</f>
        <v>0</v>
      </c>
      <c r="H40" s="3"/>
    </row>
    <row r="41" spans="1:8">
      <c r="A41" s="3" t="s">
        <v>47</v>
      </c>
      <c r="B41" s="3" t="s">
        <v>98</v>
      </c>
      <c r="C41" s="3" t="s">
        <v>22</v>
      </c>
      <c r="D41" s="7">
        <v>300</v>
      </c>
      <c r="E41" s="3" t="s">
        <v>64</v>
      </c>
      <c r="F41" s="8">
        <f>SUMIF('06_Нужно_заготовок'!$A:$A,A41,'06_Нужно_заготовок'!$E:$E)</f>
        <v>0</v>
      </c>
      <c r="G41" s="8">
        <f>D41*F41</f>
        <v>0</v>
      </c>
      <c r="H41" s="3"/>
    </row>
    <row r="42" spans="1:8">
      <c r="A42" s="3" t="s">
        <v>47</v>
      </c>
      <c r="B42" s="3" t="s">
        <v>45</v>
      </c>
      <c r="C42" s="3" t="s">
        <v>22</v>
      </c>
      <c r="D42" s="7">
        <v>100</v>
      </c>
      <c r="E42" s="3" t="s">
        <v>23</v>
      </c>
      <c r="F42" s="8">
        <f>SUMIF('06_Нужно_заготовок'!$A:$A,A42,'06_Нужно_заготовок'!$E:$E)</f>
        <v>0</v>
      </c>
      <c r="G42" s="8">
        <f>D42*F42</f>
        <v>0</v>
      </c>
      <c r="H42" s="3"/>
    </row>
    <row r="43" spans="1:8">
      <c r="A43" s="3" t="s">
        <v>47</v>
      </c>
      <c r="B43" s="3" t="s">
        <v>99</v>
      </c>
      <c r="C43" s="3" t="s">
        <v>22</v>
      </c>
      <c r="D43" s="7">
        <v>60</v>
      </c>
      <c r="E43" s="3" t="s">
        <v>23</v>
      </c>
      <c r="F43" s="8">
        <f>SUMIF('06_Нужно_заготовок'!$A:$A,A43,'06_Нужно_заготовок'!$E:$E)</f>
        <v>0</v>
      </c>
      <c r="G43" s="8">
        <f>D43*F43</f>
        <v>0</v>
      </c>
      <c r="H43" s="3"/>
    </row>
    <row r="44" spans="1:8">
      <c r="A44" s="3" t="s">
        <v>47</v>
      </c>
      <c r="B44" s="3" t="s">
        <v>100</v>
      </c>
      <c r="C44" s="3" t="s">
        <v>22</v>
      </c>
      <c r="D44" s="7">
        <v>10</v>
      </c>
      <c r="E44" s="3" t="s">
        <v>23</v>
      </c>
      <c r="F44" s="8">
        <f>SUMIF('06_Нужно_заготовок'!$A:$A,A44,'06_Нужно_заготовок'!$E:$E)</f>
        <v>0</v>
      </c>
      <c r="G44" s="8">
        <f>D44*F44</f>
        <v>0</v>
      </c>
      <c r="H44" s="3"/>
    </row>
    <row r="45" spans="1:8">
      <c r="A45" s="3" t="s">
        <v>47</v>
      </c>
      <c r="B45" s="3" t="s">
        <v>101</v>
      </c>
      <c r="C45" s="3" t="s">
        <v>22</v>
      </c>
      <c r="D45" s="7">
        <v>10</v>
      </c>
      <c r="E45" s="3" t="s">
        <v>23</v>
      </c>
      <c r="F45" s="8">
        <f>SUMIF('06_Нужно_заготовок'!$A:$A,A45,'06_Нужно_заготовок'!$E:$E)</f>
        <v>0</v>
      </c>
      <c r="G45" s="8">
        <f>D45*F45</f>
        <v>0</v>
      </c>
      <c r="H45" s="3"/>
    </row>
    <row r="46" spans="1:8">
      <c r="A46" s="3" t="s">
        <v>47</v>
      </c>
      <c r="B46" s="3" t="s">
        <v>102</v>
      </c>
      <c r="C46" s="3" t="s">
        <v>22</v>
      </c>
      <c r="D46" s="7">
        <v>30</v>
      </c>
      <c r="E46" s="3" t="s">
        <v>23</v>
      </c>
      <c r="F46" s="8">
        <f>SUMIF('06_Нужно_заготовок'!$A:$A,A46,'06_Нужно_заготовок'!$E:$E)</f>
        <v>0</v>
      </c>
      <c r="G46" s="8">
        <f>D46*F46</f>
        <v>0</v>
      </c>
      <c r="H46" s="3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F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6" max="6" width="35.7109375" customWidth="1"/>
  </cols>
  <sheetData>
    <row r="1" spans="1:6">
      <c r="A1" t="s">
        <v>22</v>
      </c>
      <c r="B1" t="s">
        <v>15</v>
      </c>
      <c r="C1" t="s">
        <v>296</v>
      </c>
      <c r="D1" t="s">
        <v>297</v>
      </c>
      <c r="E1" t="s">
        <v>292</v>
      </c>
      <c r="F1" t="s">
        <v>20</v>
      </c>
    </row>
    <row r="2" spans="1:6">
      <c r="A2" s="3" t="s">
        <v>21</v>
      </c>
      <c r="B2" s="3">
        <f>IFERROR(INDEX('01_Номенклатура'!$C:$C,MATCH(A2,'01_Номенклатура'!$A:$A,0)),"")</f>
        <v>0</v>
      </c>
      <c r="C2" s="8">
        <f>SUMIFS('05_Расход_меню'!$H:$H,'05_Расход_меню'!$C:$C,A2,'05_Расход_меню'!$D:$D,"Сырьё")</f>
        <v>0</v>
      </c>
      <c r="D2" s="8">
        <f>SUMIFS('07_Расход_заготовок'!$G:$G,'07_Расход_заготовок'!$B:$B,A2,'07_Расход_заготовок'!$C:$C,"Сырьё")</f>
        <v>0</v>
      </c>
      <c r="E2" s="8">
        <f>C2+D2</f>
        <v>0</v>
      </c>
      <c r="F2" s="3"/>
    </row>
    <row r="3" spans="1:6">
      <c r="A3" s="3" t="s">
        <v>25</v>
      </c>
      <c r="B3" s="3">
        <f>IFERROR(INDEX('01_Номенклатура'!$C:$C,MATCH(A3,'01_Номенклатура'!$A:$A,0)),"")</f>
        <v>0</v>
      </c>
      <c r="C3" s="8">
        <f>SUMIFS('05_Расход_меню'!$H:$H,'05_Расход_меню'!$C:$C,A3,'05_Расход_меню'!$D:$D,"Сырьё")</f>
        <v>0</v>
      </c>
      <c r="D3" s="8">
        <f>SUMIFS('07_Расход_заготовок'!$G:$G,'07_Расход_заготовок'!$B:$B,A3,'07_Расход_заготовок'!$C:$C,"Сырьё")</f>
        <v>0</v>
      </c>
      <c r="E3" s="8">
        <f>C3+D3</f>
        <v>0</v>
      </c>
      <c r="F3" s="3"/>
    </row>
    <row r="4" spans="1:6">
      <c r="A4" s="3" t="s">
        <v>26</v>
      </c>
      <c r="B4" s="3">
        <f>IFERROR(INDEX('01_Номенклатура'!$C:$C,MATCH(A4,'01_Номенклатура'!$A:$A,0)),"")</f>
        <v>0</v>
      </c>
      <c r="C4" s="8">
        <f>SUMIFS('05_Расход_меню'!$H:$H,'05_Расход_меню'!$C:$C,A4,'05_Расход_меню'!$D:$D,"Сырьё")</f>
        <v>0</v>
      </c>
      <c r="D4" s="8">
        <f>SUMIFS('07_Расход_заготовок'!$G:$G,'07_Расход_заготовок'!$B:$B,A4,'07_Расход_заготовок'!$C:$C,"Сырьё")</f>
        <v>0</v>
      </c>
      <c r="E4" s="8">
        <f>C4+D4</f>
        <v>0</v>
      </c>
      <c r="F4" s="3"/>
    </row>
    <row r="5" spans="1:6">
      <c r="A5" s="3" t="s">
        <v>28</v>
      </c>
      <c r="B5" s="3">
        <f>IFERROR(INDEX('01_Номенклатура'!$C:$C,MATCH(A5,'01_Номенклатура'!$A:$A,0)),"")</f>
        <v>0</v>
      </c>
      <c r="C5" s="8">
        <f>SUMIFS('05_Расход_меню'!$H:$H,'05_Расход_меню'!$C:$C,A5,'05_Расход_меню'!$D:$D,"Сырьё")</f>
        <v>0</v>
      </c>
      <c r="D5" s="8">
        <f>SUMIFS('07_Расход_заготовок'!$G:$G,'07_Расход_заготовок'!$B:$B,A5,'07_Расход_заготовок'!$C:$C,"Сырьё")</f>
        <v>0</v>
      </c>
      <c r="E5" s="8">
        <f>C5+D5</f>
        <v>0</v>
      </c>
      <c r="F5" s="3"/>
    </row>
    <row r="6" spans="1:6">
      <c r="A6" s="3" t="s">
        <v>29</v>
      </c>
      <c r="B6" s="3">
        <f>IFERROR(INDEX('01_Номенклатура'!$C:$C,MATCH(A6,'01_Номенклатура'!$A:$A,0)),"")</f>
        <v>0</v>
      </c>
      <c r="C6" s="8">
        <f>SUMIFS('05_Расход_меню'!$H:$H,'05_Расход_меню'!$C:$C,A6,'05_Расход_меню'!$D:$D,"Сырьё")</f>
        <v>0</v>
      </c>
      <c r="D6" s="8">
        <f>SUMIFS('07_Расход_заготовок'!$G:$G,'07_Расход_заготовок'!$B:$B,A6,'07_Расход_заготовок'!$C:$C,"Сырьё")</f>
        <v>0</v>
      </c>
      <c r="E6" s="8">
        <f>C6+D6</f>
        <v>0</v>
      </c>
      <c r="F6" s="3"/>
    </row>
    <row r="7" spans="1:6">
      <c r="A7" s="3" t="s">
        <v>30</v>
      </c>
      <c r="B7" s="3">
        <f>IFERROR(INDEX('01_Номенклатура'!$C:$C,MATCH(A7,'01_Номенклатура'!$A:$A,0)),"")</f>
        <v>0</v>
      </c>
      <c r="C7" s="8">
        <f>SUMIFS('05_Расход_меню'!$H:$H,'05_Расход_меню'!$C:$C,A7,'05_Расход_меню'!$D:$D,"Сырьё")</f>
        <v>0</v>
      </c>
      <c r="D7" s="8">
        <f>SUMIFS('07_Расход_заготовок'!$G:$G,'07_Расход_заготовок'!$B:$B,A7,'07_Расход_заготовок'!$C:$C,"Сырьё")</f>
        <v>0</v>
      </c>
      <c r="E7" s="8">
        <f>C7+D7</f>
        <v>0</v>
      </c>
      <c r="F7" s="3"/>
    </row>
    <row r="8" spans="1:6">
      <c r="A8" s="3" t="s">
        <v>31</v>
      </c>
      <c r="B8" s="3">
        <f>IFERROR(INDEX('01_Номенклатура'!$C:$C,MATCH(A8,'01_Номенклатура'!$A:$A,0)),"")</f>
        <v>0</v>
      </c>
      <c r="C8" s="8">
        <f>SUMIFS('05_Расход_меню'!$H:$H,'05_Расход_меню'!$C:$C,A8,'05_Расход_меню'!$D:$D,"Сырьё")</f>
        <v>0</v>
      </c>
      <c r="D8" s="8">
        <f>SUMIFS('07_Расход_заготовок'!$G:$G,'07_Расход_заготовок'!$B:$B,A8,'07_Расход_заготовок'!$C:$C,"Сырьё")</f>
        <v>0</v>
      </c>
      <c r="E8" s="8">
        <f>C8+D8</f>
        <v>0</v>
      </c>
      <c r="F8" s="3"/>
    </row>
    <row r="9" spans="1:6">
      <c r="A9" s="3" t="s">
        <v>35</v>
      </c>
      <c r="B9" s="3">
        <f>IFERROR(INDEX('01_Номенклатура'!$C:$C,MATCH(A9,'01_Номенклатура'!$A:$A,0)),"")</f>
        <v>0</v>
      </c>
      <c r="C9" s="8">
        <f>SUMIFS('05_Расход_меню'!$H:$H,'05_Расход_меню'!$C:$C,A9,'05_Расход_меню'!$D:$D,"Сырьё")</f>
        <v>0</v>
      </c>
      <c r="D9" s="8">
        <f>SUMIFS('07_Расход_заготовок'!$G:$G,'07_Расход_заготовок'!$B:$B,A9,'07_Расход_заготовок'!$C:$C,"Сырьё")</f>
        <v>0</v>
      </c>
      <c r="E9" s="8">
        <f>C9+D9</f>
        <v>0</v>
      </c>
      <c r="F9" s="3"/>
    </row>
    <row r="10" spans="1:6">
      <c r="A10" s="3" t="s">
        <v>39</v>
      </c>
      <c r="B10" s="3">
        <f>IFERROR(INDEX('01_Номенклатура'!$C:$C,MATCH(A10,'01_Номенклатура'!$A:$A,0)),"")</f>
        <v>0</v>
      </c>
      <c r="C10" s="8">
        <f>SUMIFS('05_Расход_меню'!$H:$H,'05_Расход_меню'!$C:$C,A10,'05_Расход_меню'!$D:$D,"Сырьё")</f>
        <v>0</v>
      </c>
      <c r="D10" s="8">
        <f>SUMIFS('07_Расход_заготовок'!$G:$G,'07_Расход_заготовок'!$B:$B,A10,'07_Расход_заготовок'!$C:$C,"Сырьё")</f>
        <v>0</v>
      </c>
      <c r="E10" s="8">
        <f>C10+D10</f>
        <v>0</v>
      </c>
      <c r="F10" s="3"/>
    </row>
    <row r="11" spans="1:6">
      <c r="A11" s="3" t="s">
        <v>40</v>
      </c>
      <c r="B11" s="3">
        <f>IFERROR(INDEX('01_Номенклатура'!$C:$C,MATCH(A11,'01_Номенклатура'!$A:$A,0)),"")</f>
        <v>0</v>
      </c>
      <c r="C11" s="8">
        <f>SUMIFS('05_Расход_меню'!$H:$H,'05_Расход_меню'!$C:$C,A11,'05_Расход_меню'!$D:$D,"Сырьё")</f>
        <v>0</v>
      </c>
      <c r="D11" s="8">
        <f>SUMIFS('07_Расход_заготовок'!$G:$G,'07_Расход_заготовок'!$B:$B,A11,'07_Расход_заготовок'!$C:$C,"Сырьё")</f>
        <v>0</v>
      </c>
      <c r="E11" s="8">
        <f>C11+D11</f>
        <v>0</v>
      </c>
      <c r="F11" s="3"/>
    </row>
    <row r="12" spans="1:6">
      <c r="A12" s="3" t="s">
        <v>42</v>
      </c>
      <c r="B12" s="3">
        <f>IFERROR(INDEX('01_Номенклатура'!$C:$C,MATCH(A12,'01_Номенклатура'!$A:$A,0)),"")</f>
        <v>0</v>
      </c>
      <c r="C12" s="8">
        <f>SUMIFS('05_Расход_меню'!$H:$H,'05_Расход_меню'!$C:$C,A12,'05_Расход_меню'!$D:$D,"Сырьё")</f>
        <v>0</v>
      </c>
      <c r="D12" s="8">
        <f>SUMIFS('07_Расход_заготовок'!$G:$G,'07_Расход_заготовок'!$B:$B,A12,'07_Расход_заготовок'!$C:$C,"Сырьё")</f>
        <v>0</v>
      </c>
      <c r="E12" s="8">
        <f>C12+D12</f>
        <v>0</v>
      </c>
      <c r="F12" s="3"/>
    </row>
    <row r="13" spans="1:6">
      <c r="A13" s="3" t="s">
        <v>43</v>
      </c>
      <c r="B13" s="3">
        <f>IFERROR(INDEX('01_Номенклатура'!$C:$C,MATCH(A13,'01_Номенклатура'!$A:$A,0)),"")</f>
        <v>0</v>
      </c>
      <c r="C13" s="8">
        <f>SUMIFS('05_Расход_меню'!$H:$H,'05_Расход_меню'!$C:$C,A13,'05_Расход_меню'!$D:$D,"Сырьё")</f>
        <v>0</v>
      </c>
      <c r="D13" s="8">
        <f>SUMIFS('07_Расход_заготовок'!$G:$G,'07_Расход_заготовок'!$B:$B,A13,'07_Расход_заготовок'!$C:$C,"Сырьё")</f>
        <v>0</v>
      </c>
      <c r="E13" s="8">
        <f>C13+D13</f>
        <v>0</v>
      </c>
      <c r="F13" s="3"/>
    </row>
    <row r="14" spans="1:6">
      <c r="A14" s="3" t="s">
        <v>44</v>
      </c>
      <c r="B14" s="3">
        <f>IFERROR(INDEX('01_Номенклатура'!$C:$C,MATCH(A14,'01_Номенклатура'!$A:$A,0)),"")</f>
        <v>0</v>
      </c>
      <c r="C14" s="8">
        <f>SUMIFS('05_Расход_меню'!$H:$H,'05_Расход_меню'!$C:$C,A14,'05_Расход_меню'!$D:$D,"Сырьё")</f>
        <v>0</v>
      </c>
      <c r="D14" s="8">
        <f>SUMIFS('07_Расход_заготовок'!$G:$G,'07_Расход_заготовок'!$B:$B,A14,'07_Расход_заготовок'!$C:$C,"Сырьё")</f>
        <v>0</v>
      </c>
      <c r="E14" s="8">
        <f>C14+D14</f>
        <v>0</v>
      </c>
      <c r="F14" s="3"/>
    </row>
    <row r="15" spans="1:6">
      <c r="A15" s="3" t="s">
        <v>45</v>
      </c>
      <c r="B15" s="3">
        <f>IFERROR(INDEX('01_Номенклатура'!$C:$C,MATCH(A15,'01_Номенклатура'!$A:$A,0)),"")</f>
        <v>0</v>
      </c>
      <c r="C15" s="8">
        <f>SUMIFS('05_Расход_меню'!$H:$H,'05_Расход_меню'!$C:$C,A15,'05_Расход_меню'!$D:$D,"Сырьё")</f>
        <v>0</v>
      </c>
      <c r="D15" s="8">
        <f>SUMIFS('07_Расход_заготовок'!$G:$G,'07_Расход_заготовок'!$B:$B,A15,'07_Расход_заготовок'!$C:$C,"Сырьё")</f>
        <v>0</v>
      </c>
      <c r="E15" s="8">
        <f>C15+D15</f>
        <v>0</v>
      </c>
      <c r="F15" s="3"/>
    </row>
    <row r="16" spans="1:6">
      <c r="A16" s="3" t="s">
        <v>46</v>
      </c>
      <c r="B16" s="3">
        <f>IFERROR(INDEX('01_Номенклатура'!$C:$C,MATCH(A16,'01_Номенклатура'!$A:$A,0)),"")</f>
        <v>0</v>
      </c>
      <c r="C16" s="8">
        <f>SUMIFS('05_Расход_меню'!$H:$H,'05_Расход_меню'!$C:$C,A16,'05_Расход_меню'!$D:$D,"Сырьё")</f>
        <v>0</v>
      </c>
      <c r="D16" s="8">
        <f>SUMIFS('07_Расход_заготовок'!$G:$G,'07_Расход_заготовок'!$B:$B,A16,'07_Расход_заготовок'!$C:$C,"Сырьё")</f>
        <v>0</v>
      </c>
      <c r="E16" s="8">
        <f>C16+D16</f>
        <v>0</v>
      </c>
      <c r="F16" s="3"/>
    </row>
    <row r="17" spans="1:6">
      <c r="A17" s="3" t="s">
        <v>48</v>
      </c>
      <c r="B17" s="3">
        <f>IFERROR(INDEX('01_Номенклатура'!$C:$C,MATCH(A17,'01_Номенклатура'!$A:$A,0)),"")</f>
        <v>0</v>
      </c>
      <c r="C17" s="8">
        <f>SUMIFS('05_Расход_меню'!$H:$H,'05_Расход_меню'!$C:$C,A17,'05_Расход_меню'!$D:$D,"Сырьё")</f>
        <v>0</v>
      </c>
      <c r="D17" s="8">
        <f>SUMIFS('07_Расход_заготовок'!$G:$G,'07_Расход_заготовок'!$B:$B,A17,'07_Расход_заготовок'!$C:$C,"Сырьё")</f>
        <v>0</v>
      </c>
      <c r="E17" s="8">
        <f>C17+D17</f>
        <v>0</v>
      </c>
      <c r="F17" s="3"/>
    </row>
    <row r="18" spans="1:6">
      <c r="A18" s="3" t="s">
        <v>51</v>
      </c>
      <c r="B18" s="3">
        <f>IFERROR(INDEX('01_Номенклатура'!$C:$C,MATCH(A18,'01_Номенклатура'!$A:$A,0)),"")</f>
        <v>0</v>
      </c>
      <c r="C18" s="8">
        <f>SUMIFS('05_Расход_меню'!$H:$H,'05_Расход_меню'!$C:$C,A18,'05_Расход_меню'!$D:$D,"Сырьё")</f>
        <v>0</v>
      </c>
      <c r="D18" s="8">
        <f>SUMIFS('07_Расход_заготовок'!$G:$G,'07_Расход_заготовок'!$B:$B,A18,'07_Расход_заготовок'!$C:$C,"Сырьё")</f>
        <v>0</v>
      </c>
      <c r="E18" s="8">
        <f>C18+D18</f>
        <v>0</v>
      </c>
      <c r="F18" s="3"/>
    </row>
    <row r="19" spans="1:6">
      <c r="A19" s="3" t="s">
        <v>52</v>
      </c>
      <c r="B19" s="3">
        <f>IFERROR(INDEX('01_Номенклатура'!$C:$C,MATCH(A19,'01_Номенклатура'!$A:$A,0)),"")</f>
        <v>0</v>
      </c>
      <c r="C19" s="8">
        <f>SUMIFS('05_Расход_меню'!$H:$H,'05_Расход_меню'!$C:$C,A19,'05_Расход_меню'!$D:$D,"Сырьё")</f>
        <v>0</v>
      </c>
      <c r="D19" s="8">
        <f>SUMIFS('07_Расход_заготовок'!$G:$G,'07_Расход_заготовок'!$B:$B,A19,'07_Расход_заготовок'!$C:$C,"Сырьё")</f>
        <v>0</v>
      </c>
      <c r="E19" s="8">
        <f>C19+D19</f>
        <v>0</v>
      </c>
      <c r="F19" s="3"/>
    </row>
    <row r="20" spans="1:6">
      <c r="A20" s="3" t="s">
        <v>54</v>
      </c>
      <c r="B20" s="3">
        <f>IFERROR(INDEX('01_Номенклатура'!$C:$C,MATCH(A20,'01_Номенклатура'!$A:$A,0)),"")</f>
        <v>0</v>
      </c>
      <c r="C20" s="8">
        <f>SUMIFS('05_Расход_меню'!$H:$H,'05_Расход_меню'!$C:$C,A20,'05_Расход_меню'!$D:$D,"Сырьё")</f>
        <v>0</v>
      </c>
      <c r="D20" s="8">
        <f>SUMIFS('07_Расход_заготовок'!$G:$G,'07_Расход_заготовок'!$B:$B,A20,'07_Расход_заготовок'!$C:$C,"Сырьё")</f>
        <v>0</v>
      </c>
      <c r="E20" s="8">
        <f>C20+D20</f>
        <v>0</v>
      </c>
      <c r="F20" s="3"/>
    </row>
    <row r="21" spans="1:6">
      <c r="A21" s="3" t="s">
        <v>55</v>
      </c>
      <c r="B21" s="3">
        <f>IFERROR(INDEX('01_Номенклатура'!$C:$C,MATCH(A21,'01_Номенклатура'!$A:$A,0)),"")</f>
        <v>0</v>
      </c>
      <c r="C21" s="8">
        <f>SUMIFS('05_Расход_меню'!$H:$H,'05_Расход_меню'!$C:$C,A21,'05_Расход_меню'!$D:$D,"Сырьё")</f>
        <v>0</v>
      </c>
      <c r="D21" s="8">
        <f>SUMIFS('07_Расход_заготовок'!$G:$G,'07_Расход_заготовок'!$B:$B,A21,'07_Расход_заготовок'!$C:$C,"Сырьё")</f>
        <v>0</v>
      </c>
      <c r="E21" s="8">
        <f>C21+D21</f>
        <v>0</v>
      </c>
      <c r="F21" s="3"/>
    </row>
    <row r="22" spans="1:6">
      <c r="A22" s="3" t="s">
        <v>56</v>
      </c>
      <c r="B22" s="3">
        <f>IFERROR(INDEX('01_Номенклатура'!$C:$C,MATCH(A22,'01_Номенклатура'!$A:$A,0)),"")</f>
        <v>0</v>
      </c>
      <c r="C22" s="8">
        <f>SUMIFS('05_Расход_меню'!$H:$H,'05_Расход_меню'!$C:$C,A22,'05_Расход_меню'!$D:$D,"Сырьё")</f>
        <v>0</v>
      </c>
      <c r="D22" s="8">
        <f>SUMIFS('07_Расход_заготовок'!$G:$G,'07_Расход_заготовок'!$B:$B,A22,'07_Расход_заготовок'!$C:$C,"Сырьё")</f>
        <v>0</v>
      </c>
      <c r="E22" s="8">
        <f>C22+D22</f>
        <v>0</v>
      </c>
      <c r="F22" s="3"/>
    </row>
    <row r="23" spans="1:6">
      <c r="A23" s="3" t="s">
        <v>58</v>
      </c>
      <c r="B23" s="3">
        <f>IFERROR(INDEX('01_Номенклатура'!$C:$C,MATCH(A23,'01_Номенклатура'!$A:$A,0)),"")</f>
        <v>0</v>
      </c>
      <c r="C23" s="8">
        <f>SUMIFS('05_Расход_меню'!$H:$H,'05_Расход_меню'!$C:$C,A23,'05_Расход_меню'!$D:$D,"Сырьё")</f>
        <v>0</v>
      </c>
      <c r="D23" s="8">
        <f>SUMIFS('07_Расход_заготовок'!$G:$G,'07_Расход_заготовок'!$B:$B,A23,'07_Расход_заготовок'!$C:$C,"Сырьё")</f>
        <v>0</v>
      </c>
      <c r="E23" s="8">
        <f>C23+D23</f>
        <v>0</v>
      </c>
      <c r="F23" s="3"/>
    </row>
    <row r="24" spans="1:6">
      <c r="A24" s="3" t="s">
        <v>59</v>
      </c>
      <c r="B24" s="3">
        <f>IFERROR(INDEX('01_Номенклатура'!$C:$C,MATCH(A24,'01_Номенклатура'!$A:$A,0)),"")</f>
        <v>0</v>
      </c>
      <c r="C24" s="8">
        <f>SUMIFS('05_Расход_меню'!$H:$H,'05_Расход_меню'!$C:$C,A24,'05_Расход_меню'!$D:$D,"Сырьё")</f>
        <v>0</v>
      </c>
      <c r="D24" s="8">
        <f>SUMIFS('07_Расход_заготовок'!$G:$G,'07_Расход_заготовок'!$B:$B,A24,'07_Расход_заготовок'!$C:$C,"Сырьё")</f>
        <v>0</v>
      </c>
      <c r="E24" s="8">
        <f>C24+D24</f>
        <v>0</v>
      </c>
      <c r="F24" s="3"/>
    </row>
    <row r="25" spans="1:6">
      <c r="A25" s="3" t="s">
        <v>60</v>
      </c>
      <c r="B25" s="3">
        <f>IFERROR(INDEX('01_Номенклатура'!$C:$C,MATCH(A25,'01_Номенклатура'!$A:$A,0)),"")</f>
        <v>0</v>
      </c>
      <c r="C25" s="8">
        <f>SUMIFS('05_Расход_меню'!$H:$H,'05_Расход_меню'!$C:$C,A25,'05_Расход_меню'!$D:$D,"Сырьё")</f>
        <v>0</v>
      </c>
      <c r="D25" s="8">
        <f>SUMIFS('07_Расход_заготовок'!$G:$G,'07_Расход_заготовок'!$B:$B,A25,'07_Расход_заготовок'!$C:$C,"Сырьё")</f>
        <v>0</v>
      </c>
      <c r="E25" s="8">
        <f>C25+D25</f>
        <v>0</v>
      </c>
      <c r="F25" s="3"/>
    </row>
    <row r="26" spans="1:6">
      <c r="A26" s="3" t="s">
        <v>61</v>
      </c>
      <c r="B26" s="3">
        <f>IFERROR(INDEX('01_Номенклатура'!$C:$C,MATCH(A26,'01_Номенклатура'!$A:$A,0)),"")</f>
        <v>0</v>
      </c>
      <c r="C26" s="8">
        <f>SUMIFS('05_Расход_меню'!$H:$H,'05_Расход_меню'!$C:$C,A26,'05_Расход_меню'!$D:$D,"Сырьё")</f>
        <v>0</v>
      </c>
      <c r="D26" s="8">
        <f>SUMIFS('07_Расход_заготовок'!$G:$G,'07_Расход_заготовок'!$B:$B,A26,'07_Расход_заготовок'!$C:$C,"Сырьё")</f>
        <v>0</v>
      </c>
      <c r="E26" s="8">
        <f>C26+D26</f>
        <v>0</v>
      </c>
      <c r="F26" s="3"/>
    </row>
    <row r="27" spans="1:6">
      <c r="A27" s="3" t="s">
        <v>62</v>
      </c>
      <c r="B27" s="3">
        <f>IFERROR(INDEX('01_Номенклатура'!$C:$C,MATCH(A27,'01_Номенклатура'!$A:$A,0)),"")</f>
        <v>0</v>
      </c>
      <c r="C27" s="8">
        <f>SUMIFS('05_Расход_меню'!$H:$H,'05_Расход_меню'!$C:$C,A27,'05_Расход_меню'!$D:$D,"Сырьё")</f>
        <v>0</v>
      </c>
      <c r="D27" s="8">
        <f>SUMIFS('07_Расход_заготовок'!$G:$G,'07_Расход_заготовок'!$B:$B,A27,'07_Расход_заготовок'!$C:$C,"Сырьё")</f>
        <v>0</v>
      </c>
      <c r="E27" s="8">
        <f>C27+D27</f>
        <v>0</v>
      </c>
      <c r="F27" s="3"/>
    </row>
    <row r="28" spans="1:6">
      <c r="A28" s="3" t="s">
        <v>63</v>
      </c>
      <c r="B28" s="3">
        <f>IFERROR(INDEX('01_Номенклатура'!$C:$C,MATCH(A28,'01_Номенклатура'!$A:$A,0)),"")</f>
        <v>0</v>
      </c>
      <c r="C28" s="8">
        <f>SUMIFS('05_Расход_меню'!$H:$H,'05_Расход_меню'!$C:$C,A28,'05_Расход_меню'!$D:$D,"Сырьё")</f>
        <v>0</v>
      </c>
      <c r="D28" s="8">
        <f>SUMIFS('07_Расход_заготовок'!$G:$G,'07_Расход_заготовок'!$B:$B,A28,'07_Расход_заготовок'!$C:$C,"Сырьё")</f>
        <v>0</v>
      </c>
      <c r="E28" s="8">
        <f>C28+D28</f>
        <v>0</v>
      </c>
      <c r="F28" s="3"/>
    </row>
    <row r="29" spans="1:6">
      <c r="A29" s="3" t="s">
        <v>66</v>
      </c>
      <c r="B29" s="3">
        <f>IFERROR(INDEX('01_Номенклатура'!$C:$C,MATCH(A29,'01_Номенклатура'!$A:$A,0)),"")</f>
        <v>0</v>
      </c>
      <c r="C29" s="8">
        <f>SUMIFS('05_Расход_меню'!$H:$H,'05_Расход_меню'!$C:$C,A29,'05_Расход_меню'!$D:$D,"Сырьё")</f>
        <v>0</v>
      </c>
      <c r="D29" s="8">
        <f>SUMIFS('07_Расход_заготовок'!$G:$G,'07_Расход_заготовок'!$B:$B,A29,'07_Расход_заготовок'!$C:$C,"Сырьё")</f>
        <v>0</v>
      </c>
      <c r="E29" s="8">
        <f>C29+D29</f>
        <v>0</v>
      </c>
      <c r="F29" s="3"/>
    </row>
    <row r="30" spans="1:6">
      <c r="A30" s="3" t="s">
        <v>67</v>
      </c>
      <c r="B30" s="3">
        <f>IFERROR(INDEX('01_Номенклатура'!$C:$C,MATCH(A30,'01_Номенклатура'!$A:$A,0)),"")</f>
        <v>0</v>
      </c>
      <c r="C30" s="8">
        <f>SUMIFS('05_Расход_меню'!$H:$H,'05_Расход_меню'!$C:$C,A30,'05_Расход_меню'!$D:$D,"Сырьё")</f>
        <v>0</v>
      </c>
      <c r="D30" s="8">
        <f>SUMIFS('07_Расход_заготовок'!$G:$G,'07_Расход_заготовок'!$B:$B,A30,'07_Расход_заготовок'!$C:$C,"Сырьё")</f>
        <v>0</v>
      </c>
      <c r="E30" s="8">
        <f>C30+D30</f>
        <v>0</v>
      </c>
      <c r="F30" s="3"/>
    </row>
    <row r="31" spans="1:6">
      <c r="A31" s="3" t="s">
        <v>68</v>
      </c>
      <c r="B31" s="3">
        <f>IFERROR(INDEX('01_Номенклатура'!$C:$C,MATCH(A31,'01_Номенклатура'!$A:$A,0)),"")</f>
        <v>0</v>
      </c>
      <c r="C31" s="8">
        <f>SUMIFS('05_Расход_меню'!$H:$H,'05_Расход_меню'!$C:$C,A31,'05_Расход_меню'!$D:$D,"Сырьё")</f>
        <v>0</v>
      </c>
      <c r="D31" s="8">
        <f>SUMIFS('07_Расход_заготовок'!$G:$G,'07_Расход_заготовок'!$B:$B,A31,'07_Расход_заготовок'!$C:$C,"Сырьё")</f>
        <v>0</v>
      </c>
      <c r="E31" s="8">
        <f>C31+D31</f>
        <v>0</v>
      </c>
      <c r="F31" s="3"/>
    </row>
    <row r="32" spans="1:6">
      <c r="A32" s="3" t="s">
        <v>69</v>
      </c>
      <c r="B32" s="3">
        <f>IFERROR(INDEX('01_Номенклатура'!$C:$C,MATCH(A32,'01_Номенклатура'!$A:$A,0)),"")</f>
        <v>0</v>
      </c>
      <c r="C32" s="8">
        <f>SUMIFS('05_Расход_меню'!$H:$H,'05_Расход_меню'!$C:$C,A32,'05_Расход_меню'!$D:$D,"Сырьё")</f>
        <v>0</v>
      </c>
      <c r="D32" s="8">
        <f>SUMIFS('07_Расход_заготовок'!$G:$G,'07_Расход_заготовок'!$B:$B,A32,'07_Расход_заготовок'!$C:$C,"Сырьё")</f>
        <v>0</v>
      </c>
      <c r="E32" s="8">
        <f>C32+D32</f>
        <v>0</v>
      </c>
      <c r="F32" s="3"/>
    </row>
    <row r="33" spans="1:6">
      <c r="A33" s="3" t="s">
        <v>70</v>
      </c>
      <c r="B33" s="3">
        <f>IFERROR(INDEX('01_Номенклатура'!$C:$C,MATCH(A33,'01_Номенклатура'!$A:$A,0)),"")</f>
        <v>0</v>
      </c>
      <c r="C33" s="8">
        <f>SUMIFS('05_Расход_меню'!$H:$H,'05_Расход_меню'!$C:$C,A33,'05_Расход_меню'!$D:$D,"Сырьё")</f>
        <v>0</v>
      </c>
      <c r="D33" s="8">
        <f>SUMIFS('07_Расход_заготовок'!$G:$G,'07_Расход_заготовок'!$B:$B,A33,'07_Расход_заготовок'!$C:$C,"Сырьё")</f>
        <v>0</v>
      </c>
      <c r="E33" s="8">
        <f>C33+D33</f>
        <v>0</v>
      </c>
      <c r="F33" s="3"/>
    </row>
    <row r="34" spans="1:6">
      <c r="A34" s="3" t="s">
        <v>71</v>
      </c>
      <c r="B34" s="3">
        <f>IFERROR(INDEX('01_Номенклатура'!$C:$C,MATCH(A34,'01_Номенклатура'!$A:$A,0)),"")</f>
        <v>0</v>
      </c>
      <c r="C34" s="8">
        <f>SUMIFS('05_Расход_меню'!$H:$H,'05_Расход_меню'!$C:$C,A34,'05_Расход_меню'!$D:$D,"Сырьё")</f>
        <v>0</v>
      </c>
      <c r="D34" s="8">
        <f>SUMIFS('07_Расход_заготовок'!$G:$G,'07_Расход_заготовок'!$B:$B,A34,'07_Расход_заготовок'!$C:$C,"Сырьё")</f>
        <v>0</v>
      </c>
      <c r="E34" s="8">
        <f>C34+D34</f>
        <v>0</v>
      </c>
      <c r="F34" s="3"/>
    </row>
    <row r="35" spans="1:6">
      <c r="A35" s="3" t="s">
        <v>72</v>
      </c>
      <c r="B35" s="3">
        <f>IFERROR(INDEX('01_Номенклатура'!$C:$C,MATCH(A35,'01_Номенклатура'!$A:$A,0)),"")</f>
        <v>0</v>
      </c>
      <c r="C35" s="8">
        <f>SUMIFS('05_Расход_меню'!$H:$H,'05_Расход_меню'!$C:$C,A35,'05_Расход_меню'!$D:$D,"Сырьё")</f>
        <v>0</v>
      </c>
      <c r="D35" s="8">
        <f>SUMIFS('07_Расход_заготовок'!$G:$G,'07_Расход_заготовок'!$B:$B,A35,'07_Расход_заготовок'!$C:$C,"Сырьё")</f>
        <v>0</v>
      </c>
      <c r="E35" s="8">
        <f>C35+D35</f>
        <v>0</v>
      </c>
      <c r="F35" s="3"/>
    </row>
    <row r="36" spans="1:6">
      <c r="A36" s="3" t="s">
        <v>73</v>
      </c>
      <c r="B36" s="3">
        <f>IFERROR(INDEX('01_Номенклатура'!$C:$C,MATCH(A36,'01_Номенклатура'!$A:$A,0)),"")</f>
        <v>0</v>
      </c>
      <c r="C36" s="8">
        <f>SUMIFS('05_Расход_меню'!$H:$H,'05_Расход_меню'!$C:$C,A36,'05_Расход_меню'!$D:$D,"Сырьё")</f>
        <v>0</v>
      </c>
      <c r="D36" s="8">
        <f>SUMIFS('07_Расход_заготовок'!$G:$G,'07_Расход_заготовок'!$B:$B,A36,'07_Расход_заготовок'!$C:$C,"Сырьё")</f>
        <v>0</v>
      </c>
      <c r="E36" s="8">
        <f>C36+D36</f>
        <v>0</v>
      </c>
      <c r="F36" s="3"/>
    </row>
    <row r="37" spans="1:6">
      <c r="A37" s="3" t="s">
        <v>74</v>
      </c>
      <c r="B37" s="3">
        <f>IFERROR(INDEX('01_Номенклатура'!$C:$C,MATCH(A37,'01_Номенклатура'!$A:$A,0)),"")</f>
        <v>0</v>
      </c>
      <c r="C37" s="8">
        <f>SUMIFS('05_Расход_меню'!$H:$H,'05_Расход_меню'!$C:$C,A37,'05_Расход_меню'!$D:$D,"Сырьё")</f>
        <v>0</v>
      </c>
      <c r="D37" s="8">
        <f>SUMIFS('07_Расход_заготовок'!$G:$G,'07_Расход_заготовок'!$B:$B,A37,'07_Расход_заготовок'!$C:$C,"Сырьё")</f>
        <v>0</v>
      </c>
      <c r="E37" s="8">
        <f>C37+D37</f>
        <v>0</v>
      </c>
      <c r="F37" s="3"/>
    </row>
    <row r="38" spans="1:6">
      <c r="A38" s="3" t="s">
        <v>75</v>
      </c>
      <c r="B38" s="3">
        <f>IFERROR(INDEX('01_Номенклатура'!$C:$C,MATCH(A38,'01_Номенклатура'!$A:$A,0)),"")</f>
        <v>0</v>
      </c>
      <c r="C38" s="8">
        <f>SUMIFS('05_Расход_меню'!$H:$H,'05_Расход_меню'!$C:$C,A38,'05_Расход_меню'!$D:$D,"Сырьё")</f>
        <v>0</v>
      </c>
      <c r="D38" s="8">
        <f>SUMIFS('07_Расход_заготовок'!$G:$G,'07_Расход_заготовок'!$B:$B,A38,'07_Расход_заготовок'!$C:$C,"Сырьё")</f>
        <v>0</v>
      </c>
      <c r="E38" s="8">
        <f>C38+D38</f>
        <v>0</v>
      </c>
      <c r="F38" s="3"/>
    </row>
    <row r="39" spans="1:6">
      <c r="A39" s="3" t="s">
        <v>76</v>
      </c>
      <c r="B39" s="3">
        <f>IFERROR(INDEX('01_Номенклатура'!$C:$C,MATCH(A39,'01_Номенклатура'!$A:$A,0)),"")</f>
        <v>0</v>
      </c>
      <c r="C39" s="8">
        <f>SUMIFS('05_Расход_меню'!$H:$H,'05_Расход_меню'!$C:$C,A39,'05_Расход_меню'!$D:$D,"Сырьё")</f>
        <v>0</v>
      </c>
      <c r="D39" s="8">
        <f>SUMIFS('07_Расход_заготовок'!$G:$G,'07_Расход_заготовок'!$B:$B,A39,'07_Расход_заготовок'!$C:$C,"Сырьё")</f>
        <v>0</v>
      </c>
      <c r="E39" s="8">
        <f>C39+D39</f>
        <v>0</v>
      </c>
      <c r="F39" s="3"/>
    </row>
    <row r="40" spans="1:6">
      <c r="A40" s="3" t="s">
        <v>77</v>
      </c>
      <c r="B40" s="3">
        <f>IFERROR(INDEX('01_Номенклатура'!$C:$C,MATCH(A40,'01_Номенклатура'!$A:$A,0)),"")</f>
        <v>0</v>
      </c>
      <c r="C40" s="8">
        <f>SUMIFS('05_Расход_меню'!$H:$H,'05_Расход_меню'!$C:$C,A40,'05_Расход_меню'!$D:$D,"Сырьё")</f>
        <v>0</v>
      </c>
      <c r="D40" s="8">
        <f>SUMIFS('07_Расход_заготовок'!$G:$G,'07_Расход_заготовок'!$B:$B,A40,'07_Расход_заготовок'!$C:$C,"Сырьё")</f>
        <v>0</v>
      </c>
      <c r="E40" s="8">
        <f>C40+D40</f>
        <v>0</v>
      </c>
      <c r="F40" s="3"/>
    </row>
    <row r="41" spans="1:6">
      <c r="A41" s="3" t="s">
        <v>78</v>
      </c>
      <c r="B41" s="3">
        <f>IFERROR(INDEX('01_Номенклатура'!$C:$C,MATCH(A41,'01_Номенклатура'!$A:$A,0)),"")</f>
        <v>0</v>
      </c>
      <c r="C41" s="8">
        <f>SUMIFS('05_Расход_меню'!$H:$H,'05_Расход_меню'!$C:$C,A41,'05_Расход_меню'!$D:$D,"Сырьё")</f>
        <v>0</v>
      </c>
      <c r="D41" s="8">
        <f>SUMIFS('07_Расход_заготовок'!$G:$G,'07_Расход_заготовок'!$B:$B,A41,'07_Расход_заготовок'!$C:$C,"Сырьё")</f>
        <v>0</v>
      </c>
      <c r="E41" s="8">
        <f>C41+D41</f>
        <v>0</v>
      </c>
      <c r="F41" s="3"/>
    </row>
    <row r="42" spans="1:6">
      <c r="A42" s="3" t="s">
        <v>79</v>
      </c>
      <c r="B42" s="3">
        <f>IFERROR(INDEX('01_Номенклатура'!$C:$C,MATCH(A42,'01_Номенклатура'!$A:$A,0)),"")</f>
        <v>0</v>
      </c>
      <c r="C42" s="8">
        <f>SUMIFS('05_Расход_меню'!$H:$H,'05_Расход_меню'!$C:$C,A42,'05_Расход_меню'!$D:$D,"Сырьё")</f>
        <v>0</v>
      </c>
      <c r="D42" s="8">
        <f>SUMIFS('07_Расход_заготовок'!$G:$G,'07_Расход_заготовок'!$B:$B,A42,'07_Расход_заготовок'!$C:$C,"Сырьё")</f>
        <v>0</v>
      </c>
      <c r="E42" s="8">
        <f>C42+D42</f>
        <v>0</v>
      </c>
      <c r="F42" s="3"/>
    </row>
    <row r="43" spans="1:6">
      <c r="A43" s="3" t="s">
        <v>80</v>
      </c>
      <c r="B43" s="3">
        <f>IFERROR(INDEX('01_Номенклатура'!$C:$C,MATCH(A43,'01_Номенклатура'!$A:$A,0)),"")</f>
        <v>0</v>
      </c>
      <c r="C43" s="8">
        <f>SUMIFS('05_Расход_меню'!$H:$H,'05_Расход_меню'!$C:$C,A43,'05_Расход_меню'!$D:$D,"Сырьё")</f>
        <v>0</v>
      </c>
      <c r="D43" s="8">
        <f>SUMIFS('07_Расход_заготовок'!$G:$G,'07_Расход_заготовок'!$B:$B,A43,'07_Расход_заготовок'!$C:$C,"Сырьё")</f>
        <v>0</v>
      </c>
      <c r="E43" s="8">
        <f>C43+D43</f>
        <v>0</v>
      </c>
      <c r="F43" s="3"/>
    </row>
    <row r="44" spans="1:6">
      <c r="A44" s="3" t="s">
        <v>81</v>
      </c>
      <c r="B44" s="3">
        <f>IFERROR(INDEX('01_Номенклатура'!$C:$C,MATCH(A44,'01_Номенклатура'!$A:$A,0)),"")</f>
        <v>0</v>
      </c>
      <c r="C44" s="8">
        <f>SUMIFS('05_Расход_меню'!$H:$H,'05_Расход_меню'!$C:$C,A44,'05_Расход_меню'!$D:$D,"Сырьё")</f>
        <v>0</v>
      </c>
      <c r="D44" s="8">
        <f>SUMIFS('07_Расход_заготовок'!$G:$G,'07_Расход_заготовок'!$B:$B,A44,'07_Расход_заготовок'!$C:$C,"Сырьё")</f>
        <v>0</v>
      </c>
      <c r="E44" s="8">
        <f>C44+D44</f>
        <v>0</v>
      </c>
      <c r="F44" s="3"/>
    </row>
    <row r="45" spans="1:6">
      <c r="A45" s="3" t="s">
        <v>82</v>
      </c>
      <c r="B45" s="3">
        <f>IFERROR(INDEX('01_Номенклатура'!$C:$C,MATCH(A45,'01_Номенклатура'!$A:$A,0)),"")</f>
        <v>0</v>
      </c>
      <c r="C45" s="8">
        <f>SUMIFS('05_Расход_меню'!$H:$H,'05_Расход_меню'!$C:$C,A45,'05_Расход_меню'!$D:$D,"Сырьё")</f>
        <v>0</v>
      </c>
      <c r="D45" s="8">
        <f>SUMIFS('07_Расход_заготовок'!$G:$G,'07_Расход_заготовок'!$B:$B,A45,'07_Расход_заготовок'!$C:$C,"Сырьё")</f>
        <v>0</v>
      </c>
      <c r="E45" s="8">
        <f>C45+D45</f>
        <v>0</v>
      </c>
      <c r="F45" s="3"/>
    </row>
    <row r="46" spans="1:6">
      <c r="A46" s="3" t="s">
        <v>83</v>
      </c>
      <c r="B46" s="3">
        <f>IFERROR(INDEX('01_Номенклатура'!$C:$C,MATCH(A46,'01_Номенклатура'!$A:$A,0)),"")</f>
        <v>0</v>
      </c>
      <c r="C46" s="8">
        <f>SUMIFS('05_Расход_меню'!$H:$H,'05_Расход_меню'!$C:$C,A46,'05_Расход_меню'!$D:$D,"Сырьё")</f>
        <v>0</v>
      </c>
      <c r="D46" s="8">
        <f>SUMIFS('07_Расход_заготовок'!$G:$G,'07_Расход_заготовок'!$B:$B,A46,'07_Расход_заготовок'!$C:$C,"Сырьё")</f>
        <v>0</v>
      </c>
      <c r="E46" s="8">
        <f>C46+D46</f>
        <v>0</v>
      </c>
      <c r="F46" s="3"/>
    </row>
    <row r="47" spans="1:6">
      <c r="A47" s="3" t="s">
        <v>84</v>
      </c>
      <c r="B47" s="3">
        <f>IFERROR(INDEX('01_Номенклатура'!$C:$C,MATCH(A47,'01_Номенклатура'!$A:$A,0)),"")</f>
        <v>0</v>
      </c>
      <c r="C47" s="8">
        <f>SUMIFS('05_Расход_меню'!$H:$H,'05_Расход_меню'!$C:$C,A47,'05_Расход_меню'!$D:$D,"Сырьё")</f>
        <v>0</v>
      </c>
      <c r="D47" s="8">
        <f>SUMIFS('07_Расход_заготовок'!$G:$G,'07_Расход_заготовок'!$B:$B,A47,'07_Расход_заготовок'!$C:$C,"Сырьё")</f>
        <v>0</v>
      </c>
      <c r="E47" s="8">
        <f>C47+D47</f>
        <v>0</v>
      </c>
      <c r="F47" s="3"/>
    </row>
    <row r="48" spans="1:6">
      <c r="A48" s="3" t="s">
        <v>85</v>
      </c>
      <c r="B48" s="3">
        <f>IFERROR(INDEX('01_Номенклатура'!$C:$C,MATCH(A48,'01_Номенклатура'!$A:$A,0)),"")</f>
        <v>0</v>
      </c>
      <c r="C48" s="8">
        <f>SUMIFS('05_Расход_меню'!$H:$H,'05_Расход_меню'!$C:$C,A48,'05_Расход_меню'!$D:$D,"Сырьё")</f>
        <v>0</v>
      </c>
      <c r="D48" s="8">
        <f>SUMIFS('07_Расход_заготовок'!$G:$G,'07_Расход_заготовок'!$B:$B,A48,'07_Расход_заготовок'!$C:$C,"Сырьё")</f>
        <v>0</v>
      </c>
      <c r="E48" s="8">
        <f>C48+D48</f>
        <v>0</v>
      </c>
      <c r="F48" s="3"/>
    </row>
    <row r="49" spans="1:6">
      <c r="A49" s="3" t="s">
        <v>87</v>
      </c>
      <c r="B49" s="3">
        <f>IFERROR(INDEX('01_Номенклатура'!$C:$C,MATCH(A49,'01_Номенклатура'!$A:$A,0)),"")</f>
        <v>0</v>
      </c>
      <c r="C49" s="8">
        <f>SUMIFS('05_Расход_меню'!$H:$H,'05_Расход_меню'!$C:$C,A49,'05_Расход_меню'!$D:$D,"Сырьё")</f>
        <v>0</v>
      </c>
      <c r="D49" s="8">
        <f>SUMIFS('07_Расход_заготовок'!$G:$G,'07_Расход_заготовок'!$B:$B,A49,'07_Расход_заготовок'!$C:$C,"Сырьё")</f>
        <v>0</v>
      </c>
      <c r="E49" s="8">
        <f>C49+D49</f>
        <v>0</v>
      </c>
      <c r="F49" s="3"/>
    </row>
    <row r="50" spans="1:6">
      <c r="A50" s="3" t="s">
        <v>88</v>
      </c>
      <c r="B50" s="3">
        <f>IFERROR(INDEX('01_Номенклатура'!$C:$C,MATCH(A50,'01_Номенклатура'!$A:$A,0)),"")</f>
        <v>0</v>
      </c>
      <c r="C50" s="8">
        <f>SUMIFS('05_Расход_меню'!$H:$H,'05_Расход_меню'!$C:$C,A50,'05_Расход_меню'!$D:$D,"Сырьё")</f>
        <v>0</v>
      </c>
      <c r="D50" s="8">
        <f>SUMIFS('07_Расход_заготовок'!$G:$G,'07_Расход_заготовок'!$B:$B,A50,'07_Расход_заготовок'!$C:$C,"Сырьё")</f>
        <v>0</v>
      </c>
      <c r="E50" s="8">
        <f>C50+D50</f>
        <v>0</v>
      </c>
      <c r="F50" s="3"/>
    </row>
    <row r="51" spans="1:6">
      <c r="A51" s="3" t="s">
        <v>89</v>
      </c>
      <c r="B51" s="3">
        <f>IFERROR(INDEX('01_Номенклатура'!$C:$C,MATCH(A51,'01_Номенклатура'!$A:$A,0)),"")</f>
        <v>0</v>
      </c>
      <c r="C51" s="8">
        <f>SUMIFS('05_Расход_меню'!$H:$H,'05_Расход_меню'!$C:$C,A51,'05_Расход_меню'!$D:$D,"Сырьё")</f>
        <v>0</v>
      </c>
      <c r="D51" s="8">
        <f>SUMIFS('07_Расход_заготовок'!$G:$G,'07_Расход_заготовок'!$B:$B,A51,'07_Расход_заготовок'!$C:$C,"Сырьё")</f>
        <v>0</v>
      </c>
      <c r="E51" s="8">
        <f>C51+D51</f>
        <v>0</v>
      </c>
      <c r="F51" s="3"/>
    </row>
    <row r="52" spans="1:6">
      <c r="A52" s="3" t="s">
        <v>90</v>
      </c>
      <c r="B52" s="3">
        <f>IFERROR(INDEX('01_Номенклатура'!$C:$C,MATCH(A52,'01_Номенклатура'!$A:$A,0)),"")</f>
        <v>0</v>
      </c>
      <c r="C52" s="8">
        <f>SUMIFS('05_Расход_меню'!$H:$H,'05_Расход_меню'!$C:$C,A52,'05_Расход_меню'!$D:$D,"Сырьё")</f>
        <v>0</v>
      </c>
      <c r="D52" s="8">
        <f>SUMIFS('07_Расход_заготовок'!$G:$G,'07_Расход_заготовок'!$B:$B,A52,'07_Расход_заготовок'!$C:$C,"Сырьё")</f>
        <v>0</v>
      </c>
      <c r="E52" s="8">
        <f>C52+D52</f>
        <v>0</v>
      </c>
      <c r="F52" s="3"/>
    </row>
    <row r="53" spans="1:6">
      <c r="A53" s="3" t="s">
        <v>91</v>
      </c>
      <c r="B53" s="3">
        <f>IFERROR(INDEX('01_Номенклатура'!$C:$C,MATCH(A53,'01_Номенклатура'!$A:$A,0)),"")</f>
        <v>0</v>
      </c>
      <c r="C53" s="8">
        <f>SUMIFS('05_Расход_меню'!$H:$H,'05_Расход_меню'!$C:$C,A53,'05_Расход_меню'!$D:$D,"Сырьё")</f>
        <v>0</v>
      </c>
      <c r="D53" s="8">
        <f>SUMIFS('07_Расход_заготовок'!$G:$G,'07_Расход_заготовок'!$B:$B,A53,'07_Расход_заготовок'!$C:$C,"Сырьё")</f>
        <v>0</v>
      </c>
      <c r="E53" s="8">
        <f>C53+D53</f>
        <v>0</v>
      </c>
      <c r="F53" s="3"/>
    </row>
    <row r="54" spans="1:6">
      <c r="A54" s="3" t="s">
        <v>92</v>
      </c>
      <c r="B54" s="3">
        <f>IFERROR(INDEX('01_Номенклатура'!$C:$C,MATCH(A54,'01_Номенклатура'!$A:$A,0)),"")</f>
        <v>0</v>
      </c>
      <c r="C54" s="8">
        <f>SUMIFS('05_Расход_меню'!$H:$H,'05_Расход_меню'!$C:$C,A54,'05_Расход_меню'!$D:$D,"Сырьё")</f>
        <v>0</v>
      </c>
      <c r="D54" s="8">
        <f>SUMIFS('07_Расход_заготовок'!$G:$G,'07_Расход_заготовок'!$B:$B,A54,'07_Расход_заготовок'!$C:$C,"Сырьё")</f>
        <v>0</v>
      </c>
      <c r="E54" s="8">
        <f>C54+D54</f>
        <v>0</v>
      </c>
      <c r="F54" s="3"/>
    </row>
    <row r="55" spans="1:6">
      <c r="A55" s="3" t="s">
        <v>93</v>
      </c>
      <c r="B55" s="3">
        <f>IFERROR(INDEX('01_Номенклатура'!$C:$C,MATCH(A55,'01_Номенклатура'!$A:$A,0)),"")</f>
        <v>0</v>
      </c>
      <c r="C55" s="8">
        <f>SUMIFS('05_Расход_меню'!$H:$H,'05_Расход_меню'!$C:$C,A55,'05_Расход_меню'!$D:$D,"Сырьё")</f>
        <v>0</v>
      </c>
      <c r="D55" s="8">
        <f>SUMIFS('07_Расход_заготовок'!$G:$G,'07_Расход_заготовок'!$B:$B,A55,'07_Расход_заготовок'!$C:$C,"Сырьё")</f>
        <v>0</v>
      </c>
      <c r="E55" s="8">
        <f>C55+D55</f>
        <v>0</v>
      </c>
      <c r="F55" s="3"/>
    </row>
    <row r="56" spans="1:6">
      <c r="A56" s="3" t="s">
        <v>94</v>
      </c>
      <c r="B56" s="3">
        <f>IFERROR(INDEX('01_Номенклатура'!$C:$C,MATCH(A56,'01_Номенклатура'!$A:$A,0)),"")</f>
        <v>0</v>
      </c>
      <c r="C56" s="8">
        <f>SUMIFS('05_Расход_меню'!$H:$H,'05_Расход_меню'!$C:$C,A56,'05_Расход_меню'!$D:$D,"Сырьё")</f>
        <v>0</v>
      </c>
      <c r="D56" s="8">
        <f>SUMIFS('07_Расход_заготовок'!$G:$G,'07_Расход_заготовок'!$B:$B,A56,'07_Расход_заготовок'!$C:$C,"Сырьё")</f>
        <v>0</v>
      </c>
      <c r="E56" s="8">
        <f>C56+D56</f>
        <v>0</v>
      </c>
      <c r="F56" s="3"/>
    </row>
    <row r="57" spans="1:6">
      <c r="A57" s="3" t="s">
        <v>95</v>
      </c>
      <c r="B57" s="3">
        <f>IFERROR(INDEX('01_Номенклатура'!$C:$C,MATCH(A57,'01_Номенклатура'!$A:$A,0)),"")</f>
        <v>0</v>
      </c>
      <c r="C57" s="8">
        <f>SUMIFS('05_Расход_меню'!$H:$H,'05_Расход_меню'!$C:$C,A57,'05_Расход_меню'!$D:$D,"Сырьё")</f>
        <v>0</v>
      </c>
      <c r="D57" s="8">
        <f>SUMIFS('07_Расход_заготовок'!$G:$G,'07_Расход_заготовок'!$B:$B,A57,'07_Расход_заготовок'!$C:$C,"Сырьё")</f>
        <v>0</v>
      </c>
      <c r="E57" s="8">
        <f>C57+D57</f>
        <v>0</v>
      </c>
      <c r="F57" s="3"/>
    </row>
    <row r="58" spans="1:6">
      <c r="A58" s="3" t="s">
        <v>96</v>
      </c>
      <c r="B58" s="3">
        <f>IFERROR(INDEX('01_Номенклатура'!$C:$C,MATCH(A58,'01_Номенклатура'!$A:$A,0)),"")</f>
        <v>0</v>
      </c>
      <c r="C58" s="8">
        <f>SUMIFS('05_Расход_меню'!$H:$H,'05_Расход_меню'!$C:$C,A58,'05_Расход_меню'!$D:$D,"Сырьё")</f>
        <v>0</v>
      </c>
      <c r="D58" s="8">
        <f>SUMIFS('07_Расход_заготовок'!$G:$G,'07_Расход_заготовок'!$B:$B,A58,'07_Расход_заготовок'!$C:$C,"Сырьё")</f>
        <v>0</v>
      </c>
      <c r="E58" s="8">
        <f>C58+D58</f>
        <v>0</v>
      </c>
      <c r="F58" s="3"/>
    </row>
    <row r="59" spans="1:6">
      <c r="A59" s="3" t="s">
        <v>97</v>
      </c>
      <c r="B59" s="3">
        <f>IFERROR(INDEX('01_Номенклатура'!$C:$C,MATCH(A59,'01_Номенклатура'!$A:$A,0)),"")</f>
        <v>0</v>
      </c>
      <c r="C59" s="8">
        <f>SUMIFS('05_Расход_меню'!$H:$H,'05_Расход_меню'!$C:$C,A59,'05_Расход_меню'!$D:$D,"Сырьё")</f>
        <v>0</v>
      </c>
      <c r="D59" s="8">
        <f>SUMIFS('07_Расход_заготовок'!$G:$G,'07_Расход_заготовок'!$B:$B,A59,'07_Расход_заготовок'!$C:$C,"Сырьё")</f>
        <v>0</v>
      </c>
      <c r="E59" s="8">
        <f>C59+D59</f>
        <v>0</v>
      </c>
      <c r="F59" s="3"/>
    </row>
    <row r="60" spans="1:6">
      <c r="A60" s="3" t="s">
        <v>98</v>
      </c>
      <c r="B60" s="3">
        <f>IFERROR(INDEX('01_Номенклатура'!$C:$C,MATCH(A60,'01_Номенклатура'!$A:$A,0)),"")</f>
        <v>0</v>
      </c>
      <c r="C60" s="8">
        <f>SUMIFS('05_Расход_меню'!$H:$H,'05_Расход_меню'!$C:$C,A60,'05_Расход_меню'!$D:$D,"Сырьё")</f>
        <v>0</v>
      </c>
      <c r="D60" s="8">
        <f>SUMIFS('07_Расход_заготовок'!$G:$G,'07_Расход_заготовок'!$B:$B,A60,'07_Расход_заготовок'!$C:$C,"Сырьё")</f>
        <v>0</v>
      </c>
      <c r="E60" s="8">
        <f>C60+D60</f>
        <v>0</v>
      </c>
      <c r="F60" s="3"/>
    </row>
    <row r="61" spans="1:6">
      <c r="A61" s="3" t="s">
        <v>99</v>
      </c>
      <c r="B61" s="3">
        <f>IFERROR(INDEX('01_Номенклатура'!$C:$C,MATCH(A61,'01_Номенклатура'!$A:$A,0)),"")</f>
        <v>0</v>
      </c>
      <c r="C61" s="8">
        <f>SUMIFS('05_Расход_меню'!$H:$H,'05_Расход_меню'!$C:$C,A61,'05_Расход_меню'!$D:$D,"Сырьё")</f>
        <v>0</v>
      </c>
      <c r="D61" s="8">
        <f>SUMIFS('07_Расход_заготовок'!$G:$G,'07_Расход_заготовок'!$B:$B,A61,'07_Расход_заготовок'!$C:$C,"Сырьё")</f>
        <v>0</v>
      </c>
      <c r="E61" s="8">
        <f>C61+D61</f>
        <v>0</v>
      </c>
      <c r="F61" s="3"/>
    </row>
    <row r="62" spans="1:6">
      <c r="A62" s="3" t="s">
        <v>100</v>
      </c>
      <c r="B62" s="3">
        <f>IFERROR(INDEX('01_Номенклатура'!$C:$C,MATCH(A62,'01_Номенклатура'!$A:$A,0)),"")</f>
        <v>0</v>
      </c>
      <c r="C62" s="8">
        <f>SUMIFS('05_Расход_меню'!$H:$H,'05_Расход_меню'!$C:$C,A62,'05_Расход_меню'!$D:$D,"Сырьё")</f>
        <v>0</v>
      </c>
      <c r="D62" s="8">
        <f>SUMIFS('07_Расход_заготовок'!$G:$G,'07_Расход_заготовок'!$B:$B,A62,'07_Расход_заготовок'!$C:$C,"Сырьё")</f>
        <v>0</v>
      </c>
      <c r="E62" s="8">
        <f>C62+D62</f>
        <v>0</v>
      </c>
      <c r="F62" s="3"/>
    </row>
    <row r="63" spans="1:6">
      <c r="A63" s="3" t="s">
        <v>101</v>
      </c>
      <c r="B63" s="3">
        <f>IFERROR(INDEX('01_Номенклатура'!$C:$C,MATCH(A63,'01_Номенклатура'!$A:$A,0)),"")</f>
        <v>0</v>
      </c>
      <c r="C63" s="8">
        <f>SUMIFS('05_Расход_меню'!$H:$H,'05_Расход_меню'!$C:$C,A63,'05_Расход_меню'!$D:$D,"Сырьё")</f>
        <v>0</v>
      </c>
      <c r="D63" s="8">
        <f>SUMIFS('07_Расход_заготовок'!$G:$G,'07_Расход_заготовок'!$B:$B,A63,'07_Расход_заготовок'!$C:$C,"Сырьё")</f>
        <v>0</v>
      </c>
      <c r="E63" s="8">
        <f>C63+D63</f>
        <v>0</v>
      </c>
      <c r="F63" s="3"/>
    </row>
    <row r="64" spans="1:6">
      <c r="A64" s="3" t="s">
        <v>102</v>
      </c>
      <c r="B64" s="3">
        <f>IFERROR(INDEX('01_Номенклатура'!$C:$C,MATCH(A64,'01_Номенклатура'!$A:$A,0)),"")</f>
        <v>0</v>
      </c>
      <c r="C64" s="8">
        <f>SUMIFS('05_Расход_меню'!$H:$H,'05_Расход_меню'!$C:$C,A64,'05_Расход_меню'!$D:$D,"Сырьё")</f>
        <v>0</v>
      </c>
      <c r="D64" s="8">
        <f>SUMIFS('07_Расход_заготовок'!$G:$G,'07_Расход_заготовок'!$B:$B,A64,'07_Расход_заготовок'!$C:$C,"Сырьё")</f>
        <v>0</v>
      </c>
      <c r="E64" s="8">
        <f>C64+D64</f>
        <v>0</v>
      </c>
      <c r="F64" s="3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I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9" max="9" width="34.7109375" customWidth="1"/>
  </cols>
  <sheetData>
    <row r="1" spans="1:9">
      <c r="A1" t="s">
        <v>298</v>
      </c>
      <c r="B1" t="s">
        <v>299</v>
      </c>
      <c r="C1" t="s">
        <v>141</v>
      </c>
      <c r="D1" t="s">
        <v>17</v>
      </c>
      <c r="E1" t="s">
        <v>16</v>
      </c>
      <c r="F1" t="s">
        <v>300</v>
      </c>
      <c r="G1" t="s">
        <v>18</v>
      </c>
      <c r="H1" t="s">
        <v>301</v>
      </c>
      <c r="I1" t="s">
        <v>20</v>
      </c>
    </row>
    <row r="2" spans="1:9">
      <c r="A2" s="3" t="s">
        <v>21</v>
      </c>
      <c r="B2" s="8">
        <f>SUMIF('08_Итог_сырья'!$A:$A,A2,'08_Итог_сырья'!$E:$E)</f>
        <v>0</v>
      </c>
      <c r="C2" s="3">
        <f>IFERROR(INDEX('01_Номенклатура'!$C:$C,MATCH(A2,'01_Номенклатура'!$A:$A,0)),"")</f>
        <v>0</v>
      </c>
      <c r="D2" s="4">
        <f>IFERROR(INDEX('01_Номенклатура'!$E:$E,MATCH(A2,'01_Номенклатура'!$A:$A,0)),"")</f>
        <v>0</v>
      </c>
      <c r="E2" s="3">
        <f>IFERROR(INDEX('01_Номенклатура'!$D:$D,MATCH(A2,'01_Номенклатура'!$A:$A,0)),"")</f>
        <v>0</v>
      </c>
      <c r="F2" s="8">
        <f>IF(OR(B2=0,D2=""),"",ROUNDUP(B2/D2,0))</f>
        <v>0</v>
      </c>
      <c r="G2" s="4">
        <f>IFERROR(INDEX('01_Номенклатура'!$F:$F,MATCH(A2,'01_Номенклатура'!$A:$A,0)),"")</f>
        <v>0</v>
      </c>
      <c r="H2" s="10">
        <f>IF(OR(F2="",G2=""),"",F2*G2)</f>
        <v>0</v>
      </c>
      <c r="I2" s="3">
        <f>IF(D2="","заполнить размер упаковки","")</f>
        <v>0</v>
      </c>
    </row>
    <row r="3" spans="1:9">
      <c r="A3" s="3" t="s">
        <v>25</v>
      </c>
      <c r="B3" s="8">
        <f>SUMIF('08_Итог_сырья'!$A:$A,A3,'08_Итог_сырья'!$E:$E)</f>
        <v>0</v>
      </c>
      <c r="C3" s="3">
        <f>IFERROR(INDEX('01_Номенклатура'!$C:$C,MATCH(A3,'01_Номенклатура'!$A:$A,0)),"")</f>
        <v>0</v>
      </c>
      <c r="D3" s="4">
        <f>IFERROR(INDEX('01_Номенклатура'!$E:$E,MATCH(A3,'01_Номенклатура'!$A:$A,0)),"")</f>
        <v>0</v>
      </c>
      <c r="E3" s="3">
        <f>IFERROR(INDEX('01_Номенклатура'!$D:$D,MATCH(A3,'01_Номенклатура'!$A:$A,0)),"")</f>
        <v>0</v>
      </c>
      <c r="F3" s="8">
        <f>IF(OR(B3=0,D3=""),"",ROUNDUP(B3/D3,0))</f>
        <v>0</v>
      </c>
      <c r="G3" s="4">
        <f>IFERROR(INDEX('01_Номенклатура'!$F:$F,MATCH(A3,'01_Номенклатура'!$A:$A,0)),"")</f>
        <v>0</v>
      </c>
      <c r="H3" s="10">
        <f>IF(OR(F3="",G3=""),"",F3*G3)</f>
        <v>0</v>
      </c>
      <c r="I3" s="3">
        <f>IF(D3="","заполнить размер упаковки","")</f>
        <v>0</v>
      </c>
    </row>
    <row r="4" spans="1:9">
      <c r="A4" s="3" t="s">
        <v>26</v>
      </c>
      <c r="B4" s="8">
        <f>SUMIF('08_Итог_сырья'!$A:$A,A4,'08_Итог_сырья'!$E:$E)</f>
        <v>0</v>
      </c>
      <c r="C4" s="3">
        <f>IFERROR(INDEX('01_Номенклатура'!$C:$C,MATCH(A4,'01_Номенклатура'!$A:$A,0)),"")</f>
        <v>0</v>
      </c>
      <c r="D4" s="4">
        <f>IFERROR(INDEX('01_Номенклатура'!$E:$E,MATCH(A4,'01_Номенклатура'!$A:$A,0)),"")</f>
        <v>0</v>
      </c>
      <c r="E4" s="3">
        <f>IFERROR(INDEX('01_Номенклатура'!$D:$D,MATCH(A4,'01_Номенклатура'!$A:$A,0)),"")</f>
        <v>0</v>
      </c>
      <c r="F4" s="8">
        <f>IF(OR(B4=0,D4=""),"",ROUNDUP(B4/D4,0))</f>
        <v>0</v>
      </c>
      <c r="G4" s="4">
        <f>IFERROR(INDEX('01_Номенклатура'!$F:$F,MATCH(A4,'01_Номенклатура'!$A:$A,0)),"")</f>
        <v>0</v>
      </c>
      <c r="H4" s="10">
        <f>IF(OR(F4="",G4=""),"",F4*G4)</f>
        <v>0</v>
      </c>
      <c r="I4" s="3">
        <f>IF(D4="","заполнить размер упаковки","")</f>
        <v>0</v>
      </c>
    </row>
    <row r="5" spans="1:9">
      <c r="A5" s="3" t="s">
        <v>28</v>
      </c>
      <c r="B5" s="8">
        <f>SUMIF('08_Итог_сырья'!$A:$A,A5,'08_Итог_сырья'!$E:$E)</f>
        <v>0</v>
      </c>
      <c r="C5" s="3">
        <f>IFERROR(INDEX('01_Номенклатура'!$C:$C,MATCH(A5,'01_Номенклатура'!$A:$A,0)),"")</f>
        <v>0</v>
      </c>
      <c r="D5" s="4">
        <f>IFERROR(INDEX('01_Номенклатура'!$E:$E,MATCH(A5,'01_Номенклатура'!$A:$A,0)),"")</f>
        <v>0</v>
      </c>
      <c r="E5" s="3">
        <f>IFERROR(INDEX('01_Номенклатура'!$D:$D,MATCH(A5,'01_Номенклатура'!$A:$A,0)),"")</f>
        <v>0</v>
      </c>
      <c r="F5" s="8">
        <f>IF(OR(B5=0,D5=""),"",ROUNDUP(B5/D5,0))</f>
        <v>0</v>
      </c>
      <c r="G5" s="4">
        <f>IFERROR(INDEX('01_Номенклатура'!$F:$F,MATCH(A5,'01_Номенклатура'!$A:$A,0)),"")</f>
        <v>0</v>
      </c>
      <c r="H5" s="10">
        <f>IF(OR(F5="",G5=""),"",F5*G5)</f>
        <v>0</v>
      </c>
      <c r="I5" s="3">
        <f>IF(D5="","заполнить размер упаковки","")</f>
        <v>0</v>
      </c>
    </row>
    <row r="6" spans="1:9">
      <c r="A6" s="3" t="s">
        <v>29</v>
      </c>
      <c r="B6" s="8">
        <f>SUMIF('08_Итог_сырья'!$A:$A,A6,'08_Итог_сырья'!$E:$E)</f>
        <v>0</v>
      </c>
      <c r="C6" s="3">
        <f>IFERROR(INDEX('01_Номенклатура'!$C:$C,MATCH(A6,'01_Номенклатура'!$A:$A,0)),"")</f>
        <v>0</v>
      </c>
      <c r="D6" s="4">
        <f>IFERROR(INDEX('01_Номенклатура'!$E:$E,MATCH(A6,'01_Номенклатура'!$A:$A,0)),"")</f>
        <v>0</v>
      </c>
      <c r="E6" s="3">
        <f>IFERROR(INDEX('01_Номенклатура'!$D:$D,MATCH(A6,'01_Номенклатура'!$A:$A,0)),"")</f>
        <v>0</v>
      </c>
      <c r="F6" s="8">
        <f>IF(OR(B6=0,D6=""),"",ROUNDUP(B6/D6,0))</f>
        <v>0</v>
      </c>
      <c r="G6" s="4">
        <f>IFERROR(INDEX('01_Номенклатура'!$F:$F,MATCH(A6,'01_Номенклатура'!$A:$A,0)),"")</f>
        <v>0</v>
      </c>
      <c r="H6" s="10">
        <f>IF(OR(F6="",G6=""),"",F6*G6)</f>
        <v>0</v>
      </c>
      <c r="I6" s="3">
        <f>IF(D6="","заполнить размер упаковки","")</f>
        <v>0</v>
      </c>
    </row>
    <row r="7" spans="1:9">
      <c r="A7" s="3" t="s">
        <v>30</v>
      </c>
      <c r="B7" s="8">
        <f>SUMIF('08_Итог_сырья'!$A:$A,A7,'08_Итог_сырья'!$E:$E)</f>
        <v>0</v>
      </c>
      <c r="C7" s="3">
        <f>IFERROR(INDEX('01_Номенклатура'!$C:$C,MATCH(A7,'01_Номенклатура'!$A:$A,0)),"")</f>
        <v>0</v>
      </c>
      <c r="D7" s="4">
        <f>IFERROR(INDEX('01_Номенклатура'!$E:$E,MATCH(A7,'01_Номенклатура'!$A:$A,0)),"")</f>
        <v>0</v>
      </c>
      <c r="E7" s="3">
        <f>IFERROR(INDEX('01_Номенклатура'!$D:$D,MATCH(A7,'01_Номенклатура'!$A:$A,0)),"")</f>
        <v>0</v>
      </c>
      <c r="F7" s="8">
        <f>IF(OR(B7=0,D7=""),"",ROUNDUP(B7/D7,0))</f>
        <v>0</v>
      </c>
      <c r="G7" s="4">
        <f>IFERROR(INDEX('01_Номенклатура'!$F:$F,MATCH(A7,'01_Номенклатура'!$A:$A,0)),"")</f>
        <v>0</v>
      </c>
      <c r="H7" s="10">
        <f>IF(OR(F7="",G7=""),"",F7*G7)</f>
        <v>0</v>
      </c>
      <c r="I7" s="3">
        <f>IF(D7="","заполнить размер упаковки","")</f>
        <v>0</v>
      </c>
    </row>
    <row r="8" spans="1:9">
      <c r="A8" s="3" t="s">
        <v>31</v>
      </c>
      <c r="B8" s="8">
        <f>SUMIF('08_Итог_сырья'!$A:$A,A8,'08_Итог_сырья'!$E:$E)</f>
        <v>0</v>
      </c>
      <c r="C8" s="3">
        <f>IFERROR(INDEX('01_Номенклатура'!$C:$C,MATCH(A8,'01_Номенклатура'!$A:$A,0)),"")</f>
        <v>0</v>
      </c>
      <c r="D8" s="4">
        <f>IFERROR(INDEX('01_Номенклатура'!$E:$E,MATCH(A8,'01_Номенклатура'!$A:$A,0)),"")</f>
        <v>0</v>
      </c>
      <c r="E8" s="3">
        <f>IFERROR(INDEX('01_Номенклатура'!$D:$D,MATCH(A8,'01_Номенклатура'!$A:$A,0)),"")</f>
        <v>0</v>
      </c>
      <c r="F8" s="8">
        <f>IF(OR(B8=0,D8=""),"",ROUNDUP(B8/D8,0))</f>
        <v>0</v>
      </c>
      <c r="G8" s="4">
        <f>IFERROR(INDEX('01_Номенклатура'!$F:$F,MATCH(A8,'01_Номенклатура'!$A:$A,0)),"")</f>
        <v>0</v>
      </c>
      <c r="H8" s="10">
        <f>IF(OR(F8="",G8=""),"",F8*G8)</f>
        <v>0</v>
      </c>
      <c r="I8" s="3">
        <f>IF(D8="","заполнить размер упаковки","")</f>
        <v>0</v>
      </c>
    </row>
    <row r="9" spans="1:9">
      <c r="A9" s="3" t="s">
        <v>35</v>
      </c>
      <c r="B9" s="8">
        <f>SUMIF('08_Итог_сырья'!$A:$A,A9,'08_Итог_сырья'!$E:$E)</f>
        <v>0</v>
      </c>
      <c r="C9" s="3">
        <f>IFERROR(INDEX('01_Номенклатура'!$C:$C,MATCH(A9,'01_Номенклатура'!$A:$A,0)),"")</f>
        <v>0</v>
      </c>
      <c r="D9" s="4">
        <f>IFERROR(INDEX('01_Номенклатура'!$E:$E,MATCH(A9,'01_Номенклатура'!$A:$A,0)),"")</f>
        <v>0</v>
      </c>
      <c r="E9" s="3">
        <f>IFERROR(INDEX('01_Номенклатура'!$D:$D,MATCH(A9,'01_Номенклатура'!$A:$A,0)),"")</f>
        <v>0</v>
      </c>
      <c r="F9" s="8">
        <f>IF(OR(B9=0,D9=""),"",ROUNDUP(B9/D9,0))</f>
        <v>0</v>
      </c>
      <c r="G9" s="4">
        <f>IFERROR(INDEX('01_Номенклатура'!$F:$F,MATCH(A9,'01_Номенклатура'!$A:$A,0)),"")</f>
        <v>0</v>
      </c>
      <c r="H9" s="10">
        <f>IF(OR(F9="",G9=""),"",F9*G9)</f>
        <v>0</v>
      </c>
      <c r="I9" s="3">
        <f>IF(D9="","заполнить размер упаковки","")</f>
        <v>0</v>
      </c>
    </row>
    <row r="10" spans="1:9">
      <c r="A10" s="3" t="s">
        <v>39</v>
      </c>
      <c r="B10" s="8">
        <f>SUMIF('08_Итог_сырья'!$A:$A,A10,'08_Итог_сырья'!$E:$E)</f>
        <v>0</v>
      </c>
      <c r="C10" s="3">
        <f>IFERROR(INDEX('01_Номенклатура'!$C:$C,MATCH(A10,'01_Номенклатура'!$A:$A,0)),"")</f>
        <v>0</v>
      </c>
      <c r="D10" s="4">
        <f>IFERROR(INDEX('01_Номенклатура'!$E:$E,MATCH(A10,'01_Номенклатура'!$A:$A,0)),"")</f>
        <v>0</v>
      </c>
      <c r="E10" s="3">
        <f>IFERROR(INDEX('01_Номенклатура'!$D:$D,MATCH(A10,'01_Номенклатура'!$A:$A,0)),"")</f>
        <v>0</v>
      </c>
      <c r="F10" s="8">
        <f>IF(OR(B10=0,D10=""),"",ROUNDUP(B10/D10,0))</f>
        <v>0</v>
      </c>
      <c r="G10" s="4">
        <f>IFERROR(INDEX('01_Номенклатура'!$F:$F,MATCH(A10,'01_Номенклатура'!$A:$A,0)),"")</f>
        <v>0</v>
      </c>
      <c r="H10" s="10">
        <f>IF(OR(F10="",G10=""),"",F10*G10)</f>
        <v>0</v>
      </c>
      <c r="I10" s="3">
        <f>IF(D10="","заполнить размер упаковки","")</f>
        <v>0</v>
      </c>
    </row>
    <row r="11" spans="1:9">
      <c r="A11" s="3" t="s">
        <v>40</v>
      </c>
      <c r="B11" s="8">
        <f>SUMIF('08_Итог_сырья'!$A:$A,A11,'08_Итог_сырья'!$E:$E)</f>
        <v>0</v>
      </c>
      <c r="C11" s="3">
        <f>IFERROR(INDEX('01_Номенклатура'!$C:$C,MATCH(A11,'01_Номенклатура'!$A:$A,0)),"")</f>
        <v>0</v>
      </c>
      <c r="D11" s="4">
        <f>IFERROR(INDEX('01_Номенклатура'!$E:$E,MATCH(A11,'01_Номенклатура'!$A:$A,0)),"")</f>
        <v>0</v>
      </c>
      <c r="E11" s="3">
        <f>IFERROR(INDEX('01_Номенклатура'!$D:$D,MATCH(A11,'01_Номенклатура'!$A:$A,0)),"")</f>
        <v>0</v>
      </c>
      <c r="F11" s="8">
        <f>IF(OR(B11=0,D11=""),"",ROUNDUP(B11/D11,0))</f>
        <v>0</v>
      </c>
      <c r="G11" s="4">
        <f>IFERROR(INDEX('01_Номенклатура'!$F:$F,MATCH(A11,'01_Номенклатура'!$A:$A,0)),"")</f>
        <v>0</v>
      </c>
      <c r="H11" s="10">
        <f>IF(OR(F11="",G11=""),"",F11*G11)</f>
        <v>0</v>
      </c>
      <c r="I11" s="3">
        <f>IF(D11="","заполнить размер упаковки","")</f>
        <v>0</v>
      </c>
    </row>
    <row r="12" spans="1:9">
      <c r="A12" s="3" t="s">
        <v>42</v>
      </c>
      <c r="B12" s="8">
        <f>SUMIF('08_Итог_сырья'!$A:$A,A12,'08_Итог_сырья'!$E:$E)</f>
        <v>0</v>
      </c>
      <c r="C12" s="3">
        <f>IFERROR(INDEX('01_Номенклатура'!$C:$C,MATCH(A12,'01_Номенклатура'!$A:$A,0)),"")</f>
        <v>0</v>
      </c>
      <c r="D12" s="4">
        <f>IFERROR(INDEX('01_Номенклатура'!$E:$E,MATCH(A12,'01_Номенклатура'!$A:$A,0)),"")</f>
        <v>0</v>
      </c>
      <c r="E12" s="3">
        <f>IFERROR(INDEX('01_Номенклатура'!$D:$D,MATCH(A12,'01_Номенклатура'!$A:$A,0)),"")</f>
        <v>0</v>
      </c>
      <c r="F12" s="8">
        <f>IF(OR(B12=0,D12=""),"",ROUNDUP(B12/D12,0))</f>
        <v>0</v>
      </c>
      <c r="G12" s="4">
        <f>IFERROR(INDEX('01_Номенклатура'!$F:$F,MATCH(A12,'01_Номенклатура'!$A:$A,0)),"")</f>
        <v>0</v>
      </c>
      <c r="H12" s="10">
        <f>IF(OR(F12="",G12=""),"",F12*G12)</f>
        <v>0</v>
      </c>
      <c r="I12" s="3">
        <f>IF(D12="","заполнить размер упаковки","")</f>
        <v>0</v>
      </c>
    </row>
    <row r="13" spans="1:9">
      <c r="A13" s="3" t="s">
        <v>43</v>
      </c>
      <c r="B13" s="8">
        <f>SUMIF('08_Итог_сырья'!$A:$A,A13,'08_Итог_сырья'!$E:$E)</f>
        <v>0</v>
      </c>
      <c r="C13" s="3">
        <f>IFERROR(INDEX('01_Номенклатура'!$C:$C,MATCH(A13,'01_Номенклатура'!$A:$A,0)),"")</f>
        <v>0</v>
      </c>
      <c r="D13" s="4">
        <f>IFERROR(INDEX('01_Номенклатура'!$E:$E,MATCH(A13,'01_Номенклатура'!$A:$A,0)),"")</f>
        <v>0</v>
      </c>
      <c r="E13" s="3">
        <f>IFERROR(INDEX('01_Номенклатура'!$D:$D,MATCH(A13,'01_Номенклатура'!$A:$A,0)),"")</f>
        <v>0</v>
      </c>
      <c r="F13" s="8">
        <f>IF(OR(B13=0,D13=""),"",ROUNDUP(B13/D13,0))</f>
        <v>0</v>
      </c>
      <c r="G13" s="4">
        <f>IFERROR(INDEX('01_Номенклатура'!$F:$F,MATCH(A13,'01_Номенклатура'!$A:$A,0)),"")</f>
        <v>0</v>
      </c>
      <c r="H13" s="10">
        <f>IF(OR(F13="",G13=""),"",F13*G13)</f>
        <v>0</v>
      </c>
      <c r="I13" s="3">
        <f>IF(D13="","заполнить размер упаковки","")</f>
        <v>0</v>
      </c>
    </row>
    <row r="14" spans="1:9">
      <c r="A14" s="3" t="s">
        <v>44</v>
      </c>
      <c r="B14" s="8">
        <f>SUMIF('08_Итог_сырья'!$A:$A,A14,'08_Итог_сырья'!$E:$E)</f>
        <v>0</v>
      </c>
      <c r="C14" s="3">
        <f>IFERROR(INDEX('01_Номенклатура'!$C:$C,MATCH(A14,'01_Номенклатура'!$A:$A,0)),"")</f>
        <v>0</v>
      </c>
      <c r="D14" s="4">
        <f>IFERROR(INDEX('01_Номенклатура'!$E:$E,MATCH(A14,'01_Номенклатура'!$A:$A,0)),"")</f>
        <v>0</v>
      </c>
      <c r="E14" s="3">
        <f>IFERROR(INDEX('01_Номенклатура'!$D:$D,MATCH(A14,'01_Номенклатура'!$A:$A,0)),"")</f>
        <v>0</v>
      </c>
      <c r="F14" s="8">
        <f>IF(OR(B14=0,D14=""),"",ROUNDUP(B14/D14,0))</f>
        <v>0</v>
      </c>
      <c r="G14" s="4">
        <f>IFERROR(INDEX('01_Номенклатура'!$F:$F,MATCH(A14,'01_Номенклатура'!$A:$A,0)),"")</f>
        <v>0</v>
      </c>
      <c r="H14" s="10">
        <f>IF(OR(F14="",G14=""),"",F14*G14)</f>
        <v>0</v>
      </c>
      <c r="I14" s="3">
        <f>IF(D14="","заполнить размер упаковки","")</f>
        <v>0</v>
      </c>
    </row>
    <row r="15" spans="1:9">
      <c r="A15" s="3" t="s">
        <v>45</v>
      </c>
      <c r="B15" s="8">
        <f>SUMIF('08_Итог_сырья'!$A:$A,A15,'08_Итог_сырья'!$E:$E)</f>
        <v>0</v>
      </c>
      <c r="C15" s="3">
        <f>IFERROR(INDEX('01_Номенклатура'!$C:$C,MATCH(A15,'01_Номенклатура'!$A:$A,0)),"")</f>
        <v>0</v>
      </c>
      <c r="D15" s="4">
        <f>IFERROR(INDEX('01_Номенклатура'!$E:$E,MATCH(A15,'01_Номенклатура'!$A:$A,0)),"")</f>
        <v>0</v>
      </c>
      <c r="E15" s="3">
        <f>IFERROR(INDEX('01_Номенклатура'!$D:$D,MATCH(A15,'01_Номенклатура'!$A:$A,0)),"")</f>
        <v>0</v>
      </c>
      <c r="F15" s="8">
        <f>IF(OR(B15=0,D15=""),"",ROUNDUP(B15/D15,0))</f>
        <v>0</v>
      </c>
      <c r="G15" s="4">
        <f>IFERROR(INDEX('01_Номенклатура'!$F:$F,MATCH(A15,'01_Номенклатура'!$A:$A,0)),"")</f>
        <v>0</v>
      </c>
      <c r="H15" s="10">
        <f>IF(OR(F15="",G15=""),"",F15*G15)</f>
        <v>0</v>
      </c>
      <c r="I15" s="3">
        <f>IF(D15="","заполнить размер упаковки","")</f>
        <v>0</v>
      </c>
    </row>
    <row r="16" spans="1:9">
      <c r="A16" s="3" t="s">
        <v>46</v>
      </c>
      <c r="B16" s="8">
        <f>SUMIF('08_Итог_сырья'!$A:$A,A16,'08_Итог_сырья'!$E:$E)</f>
        <v>0</v>
      </c>
      <c r="C16" s="3">
        <f>IFERROR(INDEX('01_Номенклатура'!$C:$C,MATCH(A16,'01_Номенклатура'!$A:$A,0)),"")</f>
        <v>0</v>
      </c>
      <c r="D16" s="4">
        <f>IFERROR(INDEX('01_Номенклатура'!$E:$E,MATCH(A16,'01_Номенклатура'!$A:$A,0)),"")</f>
        <v>0</v>
      </c>
      <c r="E16" s="3">
        <f>IFERROR(INDEX('01_Номенклатура'!$D:$D,MATCH(A16,'01_Номенклатура'!$A:$A,0)),"")</f>
        <v>0</v>
      </c>
      <c r="F16" s="8">
        <f>IF(OR(B16=0,D16=""),"",ROUNDUP(B16/D16,0))</f>
        <v>0</v>
      </c>
      <c r="G16" s="4">
        <f>IFERROR(INDEX('01_Номенклатура'!$F:$F,MATCH(A16,'01_Номенклатура'!$A:$A,0)),"")</f>
        <v>0</v>
      </c>
      <c r="H16" s="10">
        <f>IF(OR(F16="",G16=""),"",F16*G16)</f>
        <v>0</v>
      </c>
      <c r="I16" s="3">
        <f>IF(D16="","заполнить размер упаковки","")</f>
        <v>0</v>
      </c>
    </row>
    <row r="17" spans="1:9">
      <c r="A17" s="3" t="s">
        <v>48</v>
      </c>
      <c r="B17" s="8">
        <f>SUMIF('08_Итог_сырья'!$A:$A,A17,'08_Итог_сырья'!$E:$E)</f>
        <v>0</v>
      </c>
      <c r="C17" s="3">
        <f>IFERROR(INDEX('01_Номенклатура'!$C:$C,MATCH(A17,'01_Номенклатура'!$A:$A,0)),"")</f>
        <v>0</v>
      </c>
      <c r="D17" s="4">
        <f>IFERROR(INDEX('01_Номенклатура'!$E:$E,MATCH(A17,'01_Номенклатура'!$A:$A,0)),"")</f>
        <v>0</v>
      </c>
      <c r="E17" s="3">
        <f>IFERROR(INDEX('01_Номенклатура'!$D:$D,MATCH(A17,'01_Номенклатура'!$A:$A,0)),"")</f>
        <v>0</v>
      </c>
      <c r="F17" s="8">
        <f>IF(OR(B17=0,D17=""),"",ROUNDUP(B17/D17,0))</f>
        <v>0</v>
      </c>
      <c r="G17" s="4">
        <f>IFERROR(INDEX('01_Номенклатура'!$F:$F,MATCH(A17,'01_Номенклатура'!$A:$A,0)),"")</f>
        <v>0</v>
      </c>
      <c r="H17" s="10">
        <f>IF(OR(F17="",G17=""),"",F17*G17)</f>
        <v>0</v>
      </c>
      <c r="I17" s="3">
        <f>IF(D17="","заполнить размер упаковки","")</f>
        <v>0</v>
      </c>
    </row>
    <row r="18" spans="1:9">
      <c r="A18" s="3" t="s">
        <v>51</v>
      </c>
      <c r="B18" s="8">
        <f>SUMIF('08_Итог_сырья'!$A:$A,A18,'08_Итог_сырья'!$E:$E)</f>
        <v>0</v>
      </c>
      <c r="C18" s="3">
        <f>IFERROR(INDEX('01_Номенклатура'!$C:$C,MATCH(A18,'01_Номенклатура'!$A:$A,0)),"")</f>
        <v>0</v>
      </c>
      <c r="D18" s="4">
        <f>IFERROR(INDEX('01_Номенклатура'!$E:$E,MATCH(A18,'01_Номенклатура'!$A:$A,0)),"")</f>
        <v>0</v>
      </c>
      <c r="E18" s="3">
        <f>IFERROR(INDEX('01_Номенклатура'!$D:$D,MATCH(A18,'01_Номенклатура'!$A:$A,0)),"")</f>
        <v>0</v>
      </c>
      <c r="F18" s="8">
        <f>IF(OR(B18=0,D18=""),"",ROUNDUP(B18/D18,0))</f>
        <v>0</v>
      </c>
      <c r="G18" s="4">
        <f>IFERROR(INDEX('01_Номенклатура'!$F:$F,MATCH(A18,'01_Номенклатура'!$A:$A,0)),"")</f>
        <v>0</v>
      </c>
      <c r="H18" s="10">
        <f>IF(OR(F18="",G18=""),"",F18*G18)</f>
        <v>0</v>
      </c>
      <c r="I18" s="3">
        <f>IF(D18="","заполнить размер упаковки","")</f>
        <v>0</v>
      </c>
    </row>
    <row r="19" spans="1:9">
      <c r="A19" s="3" t="s">
        <v>52</v>
      </c>
      <c r="B19" s="8">
        <f>SUMIF('08_Итог_сырья'!$A:$A,A19,'08_Итог_сырья'!$E:$E)</f>
        <v>0</v>
      </c>
      <c r="C19" s="3">
        <f>IFERROR(INDEX('01_Номенклатура'!$C:$C,MATCH(A19,'01_Номенклатура'!$A:$A,0)),"")</f>
        <v>0</v>
      </c>
      <c r="D19" s="4">
        <f>IFERROR(INDEX('01_Номенклатура'!$E:$E,MATCH(A19,'01_Номенклатура'!$A:$A,0)),"")</f>
        <v>0</v>
      </c>
      <c r="E19" s="3">
        <f>IFERROR(INDEX('01_Номенклатура'!$D:$D,MATCH(A19,'01_Номенклатура'!$A:$A,0)),"")</f>
        <v>0</v>
      </c>
      <c r="F19" s="8">
        <f>IF(OR(B19=0,D19=""),"",ROUNDUP(B19/D19,0))</f>
        <v>0</v>
      </c>
      <c r="G19" s="4">
        <f>IFERROR(INDEX('01_Номенклатура'!$F:$F,MATCH(A19,'01_Номенклатура'!$A:$A,0)),"")</f>
        <v>0</v>
      </c>
      <c r="H19" s="10">
        <f>IF(OR(F19="",G19=""),"",F19*G19)</f>
        <v>0</v>
      </c>
      <c r="I19" s="3">
        <f>IF(D19="","заполнить размер упаковки","")</f>
        <v>0</v>
      </c>
    </row>
    <row r="20" spans="1:9">
      <c r="A20" s="3" t="s">
        <v>54</v>
      </c>
      <c r="B20" s="8">
        <f>SUMIF('08_Итог_сырья'!$A:$A,A20,'08_Итог_сырья'!$E:$E)</f>
        <v>0</v>
      </c>
      <c r="C20" s="3">
        <f>IFERROR(INDEX('01_Номенклатура'!$C:$C,MATCH(A20,'01_Номенклатура'!$A:$A,0)),"")</f>
        <v>0</v>
      </c>
      <c r="D20" s="4">
        <f>IFERROR(INDEX('01_Номенклатура'!$E:$E,MATCH(A20,'01_Номенклатура'!$A:$A,0)),"")</f>
        <v>0</v>
      </c>
      <c r="E20" s="3">
        <f>IFERROR(INDEX('01_Номенклатура'!$D:$D,MATCH(A20,'01_Номенклатура'!$A:$A,0)),"")</f>
        <v>0</v>
      </c>
      <c r="F20" s="8">
        <f>IF(OR(B20=0,D20=""),"",ROUNDUP(B20/D20,0))</f>
        <v>0</v>
      </c>
      <c r="G20" s="4">
        <f>IFERROR(INDEX('01_Номенклатура'!$F:$F,MATCH(A20,'01_Номенклатура'!$A:$A,0)),"")</f>
        <v>0</v>
      </c>
      <c r="H20" s="10">
        <f>IF(OR(F20="",G20=""),"",F20*G20)</f>
        <v>0</v>
      </c>
      <c r="I20" s="3">
        <f>IF(D20="","заполнить размер упаковки","")</f>
        <v>0</v>
      </c>
    </row>
    <row r="21" spans="1:9">
      <c r="A21" s="3" t="s">
        <v>55</v>
      </c>
      <c r="B21" s="8">
        <f>SUMIF('08_Итог_сырья'!$A:$A,A21,'08_Итог_сырья'!$E:$E)</f>
        <v>0</v>
      </c>
      <c r="C21" s="3">
        <f>IFERROR(INDEX('01_Номенклатура'!$C:$C,MATCH(A21,'01_Номенклатура'!$A:$A,0)),"")</f>
        <v>0</v>
      </c>
      <c r="D21" s="4">
        <f>IFERROR(INDEX('01_Номенклатура'!$E:$E,MATCH(A21,'01_Номенклатура'!$A:$A,0)),"")</f>
        <v>0</v>
      </c>
      <c r="E21" s="3">
        <f>IFERROR(INDEX('01_Номенклатура'!$D:$D,MATCH(A21,'01_Номенклатура'!$A:$A,0)),"")</f>
        <v>0</v>
      </c>
      <c r="F21" s="8">
        <f>IF(OR(B21=0,D21=""),"",ROUNDUP(B21/D21,0))</f>
        <v>0</v>
      </c>
      <c r="G21" s="4">
        <f>IFERROR(INDEX('01_Номенклатура'!$F:$F,MATCH(A21,'01_Номенклатура'!$A:$A,0)),"")</f>
        <v>0</v>
      </c>
      <c r="H21" s="10">
        <f>IF(OR(F21="",G21=""),"",F21*G21)</f>
        <v>0</v>
      </c>
      <c r="I21" s="3">
        <f>IF(D21="","заполнить размер упаковки","")</f>
        <v>0</v>
      </c>
    </row>
    <row r="22" spans="1:9">
      <c r="A22" s="3" t="s">
        <v>56</v>
      </c>
      <c r="B22" s="8">
        <f>SUMIF('08_Итог_сырья'!$A:$A,A22,'08_Итог_сырья'!$E:$E)</f>
        <v>0</v>
      </c>
      <c r="C22" s="3">
        <f>IFERROR(INDEX('01_Номенклатура'!$C:$C,MATCH(A22,'01_Номенклатура'!$A:$A,0)),"")</f>
        <v>0</v>
      </c>
      <c r="D22" s="4">
        <f>IFERROR(INDEX('01_Номенклатура'!$E:$E,MATCH(A22,'01_Номенклатура'!$A:$A,0)),"")</f>
        <v>0</v>
      </c>
      <c r="E22" s="3">
        <f>IFERROR(INDEX('01_Номенклатура'!$D:$D,MATCH(A22,'01_Номенклатура'!$A:$A,0)),"")</f>
        <v>0</v>
      </c>
      <c r="F22" s="8">
        <f>IF(OR(B22=0,D22=""),"",ROUNDUP(B22/D22,0))</f>
        <v>0</v>
      </c>
      <c r="G22" s="4">
        <f>IFERROR(INDEX('01_Номенклатура'!$F:$F,MATCH(A22,'01_Номенклатура'!$A:$A,0)),"")</f>
        <v>0</v>
      </c>
      <c r="H22" s="10">
        <f>IF(OR(F22="",G22=""),"",F22*G22)</f>
        <v>0</v>
      </c>
      <c r="I22" s="3">
        <f>IF(D22="","заполнить размер упаковки","")</f>
        <v>0</v>
      </c>
    </row>
    <row r="23" spans="1:9">
      <c r="A23" s="3" t="s">
        <v>58</v>
      </c>
      <c r="B23" s="8">
        <f>SUMIF('08_Итог_сырья'!$A:$A,A23,'08_Итог_сырья'!$E:$E)</f>
        <v>0</v>
      </c>
      <c r="C23" s="3">
        <f>IFERROR(INDEX('01_Номенклатура'!$C:$C,MATCH(A23,'01_Номенклатура'!$A:$A,0)),"")</f>
        <v>0</v>
      </c>
      <c r="D23" s="4">
        <f>IFERROR(INDEX('01_Номенклатура'!$E:$E,MATCH(A23,'01_Номенклатура'!$A:$A,0)),"")</f>
        <v>0</v>
      </c>
      <c r="E23" s="3">
        <f>IFERROR(INDEX('01_Номенклатура'!$D:$D,MATCH(A23,'01_Номенклатура'!$A:$A,0)),"")</f>
        <v>0</v>
      </c>
      <c r="F23" s="8">
        <f>IF(OR(B23=0,D23=""),"",ROUNDUP(B23/D23,0))</f>
        <v>0</v>
      </c>
      <c r="G23" s="4">
        <f>IFERROR(INDEX('01_Номенклатура'!$F:$F,MATCH(A23,'01_Номенклатура'!$A:$A,0)),"")</f>
        <v>0</v>
      </c>
      <c r="H23" s="10">
        <f>IF(OR(F23="",G23=""),"",F23*G23)</f>
        <v>0</v>
      </c>
      <c r="I23" s="3">
        <f>IF(D23="","заполнить размер упаковки","")</f>
        <v>0</v>
      </c>
    </row>
    <row r="24" spans="1:9">
      <c r="A24" s="3" t="s">
        <v>59</v>
      </c>
      <c r="B24" s="8">
        <f>SUMIF('08_Итог_сырья'!$A:$A,A24,'08_Итог_сырья'!$E:$E)</f>
        <v>0</v>
      </c>
      <c r="C24" s="3">
        <f>IFERROR(INDEX('01_Номенклатура'!$C:$C,MATCH(A24,'01_Номенклатура'!$A:$A,0)),"")</f>
        <v>0</v>
      </c>
      <c r="D24" s="4">
        <f>IFERROR(INDEX('01_Номенклатура'!$E:$E,MATCH(A24,'01_Номенклатура'!$A:$A,0)),"")</f>
        <v>0</v>
      </c>
      <c r="E24" s="3">
        <f>IFERROR(INDEX('01_Номенклатура'!$D:$D,MATCH(A24,'01_Номенклатура'!$A:$A,0)),"")</f>
        <v>0</v>
      </c>
      <c r="F24" s="8">
        <f>IF(OR(B24=0,D24=""),"",ROUNDUP(B24/D24,0))</f>
        <v>0</v>
      </c>
      <c r="G24" s="4">
        <f>IFERROR(INDEX('01_Номенклатура'!$F:$F,MATCH(A24,'01_Номенклатура'!$A:$A,0)),"")</f>
        <v>0</v>
      </c>
      <c r="H24" s="10">
        <f>IF(OR(F24="",G24=""),"",F24*G24)</f>
        <v>0</v>
      </c>
      <c r="I24" s="3">
        <f>IF(D24="","заполнить размер упаковки","")</f>
        <v>0</v>
      </c>
    </row>
    <row r="25" spans="1:9">
      <c r="A25" s="3" t="s">
        <v>60</v>
      </c>
      <c r="B25" s="8">
        <f>SUMIF('08_Итог_сырья'!$A:$A,A25,'08_Итог_сырья'!$E:$E)</f>
        <v>0</v>
      </c>
      <c r="C25" s="3">
        <f>IFERROR(INDEX('01_Номенклатура'!$C:$C,MATCH(A25,'01_Номенклатура'!$A:$A,0)),"")</f>
        <v>0</v>
      </c>
      <c r="D25" s="4">
        <f>IFERROR(INDEX('01_Номенклатура'!$E:$E,MATCH(A25,'01_Номенклатура'!$A:$A,0)),"")</f>
        <v>0</v>
      </c>
      <c r="E25" s="3">
        <f>IFERROR(INDEX('01_Номенклатура'!$D:$D,MATCH(A25,'01_Номенклатура'!$A:$A,0)),"")</f>
        <v>0</v>
      </c>
      <c r="F25" s="8">
        <f>IF(OR(B25=0,D25=""),"",ROUNDUP(B25/D25,0))</f>
        <v>0</v>
      </c>
      <c r="G25" s="4">
        <f>IFERROR(INDEX('01_Номенклатура'!$F:$F,MATCH(A25,'01_Номенклатура'!$A:$A,0)),"")</f>
        <v>0</v>
      </c>
      <c r="H25" s="10">
        <f>IF(OR(F25="",G25=""),"",F25*G25)</f>
        <v>0</v>
      </c>
      <c r="I25" s="3">
        <f>IF(D25="","заполнить размер упаковки","")</f>
        <v>0</v>
      </c>
    </row>
    <row r="26" spans="1:9">
      <c r="A26" s="3" t="s">
        <v>61</v>
      </c>
      <c r="B26" s="8">
        <f>SUMIF('08_Итог_сырья'!$A:$A,A26,'08_Итог_сырья'!$E:$E)</f>
        <v>0</v>
      </c>
      <c r="C26" s="3">
        <f>IFERROR(INDEX('01_Номенклатура'!$C:$C,MATCH(A26,'01_Номенклатура'!$A:$A,0)),"")</f>
        <v>0</v>
      </c>
      <c r="D26" s="4">
        <f>IFERROR(INDEX('01_Номенклатура'!$E:$E,MATCH(A26,'01_Номенклатура'!$A:$A,0)),"")</f>
        <v>0</v>
      </c>
      <c r="E26" s="3">
        <f>IFERROR(INDEX('01_Номенклатура'!$D:$D,MATCH(A26,'01_Номенклатура'!$A:$A,0)),"")</f>
        <v>0</v>
      </c>
      <c r="F26" s="8">
        <f>IF(OR(B26=0,D26=""),"",ROUNDUP(B26/D26,0))</f>
        <v>0</v>
      </c>
      <c r="G26" s="4">
        <f>IFERROR(INDEX('01_Номенклатура'!$F:$F,MATCH(A26,'01_Номенклатура'!$A:$A,0)),"")</f>
        <v>0</v>
      </c>
      <c r="H26" s="10">
        <f>IF(OR(F26="",G26=""),"",F26*G26)</f>
        <v>0</v>
      </c>
      <c r="I26" s="3">
        <f>IF(D26="","заполнить размер упаковки","")</f>
        <v>0</v>
      </c>
    </row>
    <row r="27" spans="1:9">
      <c r="A27" s="3" t="s">
        <v>62</v>
      </c>
      <c r="B27" s="8">
        <f>SUMIF('08_Итог_сырья'!$A:$A,A27,'08_Итог_сырья'!$E:$E)</f>
        <v>0</v>
      </c>
      <c r="C27" s="3">
        <f>IFERROR(INDEX('01_Номенклатура'!$C:$C,MATCH(A27,'01_Номенклатура'!$A:$A,0)),"")</f>
        <v>0</v>
      </c>
      <c r="D27" s="4">
        <f>IFERROR(INDEX('01_Номенклатура'!$E:$E,MATCH(A27,'01_Номенклатура'!$A:$A,0)),"")</f>
        <v>0</v>
      </c>
      <c r="E27" s="3">
        <f>IFERROR(INDEX('01_Номенклатура'!$D:$D,MATCH(A27,'01_Номенклатура'!$A:$A,0)),"")</f>
        <v>0</v>
      </c>
      <c r="F27" s="8">
        <f>IF(OR(B27=0,D27=""),"",ROUNDUP(B27/D27,0))</f>
        <v>0</v>
      </c>
      <c r="G27" s="4">
        <f>IFERROR(INDEX('01_Номенклатура'!$F:$F,MATCH(A27,'01_Номенклатура'!$A:$A,0)),"")</f>
        <v>0</v>
      </c>
      <c r="H27" s="10">
        <f>IF(OR(F27="",G27=""),"",F27*G27)</f>
        <v>0</v>
      </c>
      <c r="I27" s="3">
        <f>IF(D27="","заполнить размер упаковки","")</f>
        <v>0</v>
      </c>
    </row>
    <row r="28" spans="1:9">
      <c r="A28" s="3" t="s">
        <v>63</v>
      </c>
      <c r="B28" s="8">
        <f>SUMIF('08_Итог_сырья'!$A:$A,A28,'08_Итог_сырья'!$E:$E)</f>
        <v>0</v>
      </c>
      <c r="C28" s="3">
        <f>IFERROR(INDEX('01_Номенклатура'!$C:$C,MATCH(A28,'01_Номенклатура'!$A:$A,0)),"")</f>
        <v>0</v>
      </c>
      <c r="D28" s="4">
        <f>IFERROR(INDEX('01_Номенклатура'!$E:$E,MATCH(A28,'01_Номенклатура'!$A:$A,0)),"")</f>
        <v>0</v>
      </c>
      <c r="E28" s="3">
        <f>IFERROR(INDEX('01_Номенклатура'!$D:$D,MATCH(A28,'01_Номенклатура'!$A:$A,0)),"")</f>
        <v>0</v>
      </c>
      <c r="F28" s="8">
        <f>IF(OR(B28=0,D28=""),"",ROUNDUP(B28/D28,0))</f>
        <v>0</v>
      </c>
      <c r="G28" s="4">
        <f>IFERROR(INDEX('01_Номенклатура'!$F:$F,MATCH(A28,'01_Номенклатура'!$A:$A,0)),"")</f>
        <v>0</v>
      </c>
      <c r="H28" s="10">
        <f>IF(OR(F28="",G28=""),"",F28*G28)</f>
        <v>0</v>
      </c>
      <c r="I28" s="3">
        <f>IF(D28="","заполнить размер упаковки","")</f>
        <v>0</v>
      </c>
    </row>
    <row r="29" spans="1:9">
      <c r="A29" s="3" t="s">
        <v>66</v>
      </c>
      <c r="B29" s="8">
        <f>SUMIF('08_Итог_сырья'!$A:$A,A29,'08_Итог_сырья'!$E:$E)</f>
        <v>0</v>
      </c>
      <c r="C29" s="3">
        <f>IFERROR(INDEX('01_Номенклатура'!$C:$C,MATCH(A29,'01_Номенклатура'!$A:$A,0)),"")</f>
        <v>0</v>
      </c>
      <c r="D29" s="4">
        <f>IFERROR(INDEX('01_Номенклатура'!$E:$E,MATCH(A29,'01_Номенклатура'!$A:$A,0)),"")</f>
        <v>0</v>
      </c>
      <c r="E29" s="3">
        <f>IFERROR(INDEX('01_Номенклатура'!$D:$D,MATCH(A29,'01_Номенклатура'!$A:$A,0)),"")</f>
        <v>0</v>
      </c>
      <c r="F29" s="8">
        <f>IF(OR(B29=0,D29=""),"",ROUNDUP(B29/D29,0))</f>
        <v>0</v>
      </c>
      <c r="G29" s="4">
        <f>IFERROR(INDEX('01_Номенклатура'!$F:$F,MATCH(A29,'01_Номенклатура'!$A:$A,0)),"")</f>
        <v>0</v>
      </c>
      <c r="H29" s="10">
        <f>IF(OR(F29="",G29=""),"",F29*G29)</f>
        <v>0</v>
      </c>
      <c r="I29" s="3">
        <f>IF(D29="","заполнить размер упаковки","")</f>
        <v>0</v>
      </c>
    </row>
    <row r="30" spans="1:9">
      <c r="A30" s="3" t="s">
        <v>67</v>
      </c>
      <c r="B30" s="8">
        <f>SUMIF('08_Итог_сырья'!$A:$A,A30,'08_Итог_сырья'!$E:$E)</f>
        <v>0</v>
      </c>
      <c r="C30" s="3">
        <f>IFERROR(INDEX('01_Номенклатура'!$C:$C,MATCH(A30,'01_Номенклатура'!$A:$A,0)),"")</f>
        <v>0</v>
      </c>
      <c r="D30" s="4">
        <f>IFERROR(INDEX('01_Номенклатура'!$E:$E,MATCH(A30,'01_Номенклатура'!$A:$A,0)),"")</f>
        <v>0</v>
      </c>
      <c r="E30" s="3">
        <f>IFERROR(INDEX('01_Номенклатура'!$D:$D,MATCH(A30,'01_Номенклатура'!$A:$A,0)),"")</f>
        <v>0</v>
      </c>
      <c r="F30" s="8">
        <f>IF(OR(B30=0,D30=""),"",ROUNDUP(B30/D30,0))</f>
        <v>0</v>
      </c>
      <c r="G30" s="4">
        <f>IFERROR(INDEX('01_Номенклатура'!$F:$F,MATCH(A30,'01_Номенклатура'!$A:$A,0)),"")</f>
        <v>0</v>
      </c>
      <c r="H30" s="10">
        <f>IF(OR(F30="",G30=""),"",F30*G30)</f>
        <v>0</v>
      </c>
      <c r="I30" s="3">
        <f>IF(D30="","заполнить размер упаковки","")</f>
        <v>0</v>
      </c>
    </row>
    <row r="31" spans="1:9">
      <c r="A31" s="3" t="s">
        <v>68</v>
      </c>
      <c r="B31" s="8">
        <f>SUMIF('08_Итог_сырья'!$A:$A,A31,'08_Итог_сырья'!$E:$E)</f>
        <v>0</v>
      </c>
      <c r="C31" s="3">
        <f>IFERROR(INDEX('01_Номенклатура'!$C:$C,MATCH(A31,'01_Номенклатура'!$A:$A,0)),"")</f>
        <v>0</v>
      </c>
      <c r="D31" s="4">
        <f>IFERROR(INDEX('01_Номенклатура'!$E:$E,MATCH(A31,'01_Номенклатура'!$A:$A,0)),"")</f>
        <v>0</v>
      </c>
      <c r="E31" s="3">
        <f>IFERROR(INDEX('01_Номенклатура'!$D:$D,MATCH(A31,'01_Номенклатура'!$A:$A,0)),"")</f>
        <v>0</v>
      </c>
      <c r="F31" s="8">
        <f>IF(OR(B31=0,D31=""),"",ROUNDUP(B31/D31,0))</f>
        <v>0</v>
      </c>
      <c r="G31" s="4">
        <f>IFERROR(INDEX('01_Номенклатура'!$F:$F,MATCH(A31,'01_Номенклатура'!$A:$A,0)),"")</f>
        <v>0</v>
      </c>
      <c r="H31" s="10">
        <f>IF(OR(F31="",G31=""),"",F31*G31)</f>
        <v>0</v>
      </c>
      <c r="I31" s="3">
        <f>IF(D31="","заполнить размер упаковки","")</f>
        <v>0</v>
      </c>
    </row>
    <row r="32" spans="1:9">
      <c r="A32" s="3" t="s">
        <v>69</v>
      </c>
      <c r="B32" s="8">
        <f>SUMIF('08_Итог_сырья'!$A:$A,A32,'08_Итог_сырья'!$E:$E)</f>
        <v>0</v>
      </c>
      <c r="C32" s="3">
        <f>IFERROR(INDEX('01_Номенклатура'!$C:$C,MATCH(A32,'01_Номенклатура'!$A:$A,0)),"")</f>
        <v>0</v>
      </c>
      <c r="D32" s="4">
        <f>IFERROR(INDEX('01_Номенклатура'!$E:$E,MATCH(A32,'01_Номенклатура'!$A:$A,0)),"")</f>
        <v>0</v>
      </c>
      <c r="E32" s="3">
        <f>IFERROR(INDEX('01_Номенклатура'!$D:$D,MATCH(A32,'01_Номенклатура'!$A:$A,0)),"")</f>
        <v>0</v>
      </c>
      <c r="F32" s="8">
        <f>IF(OR(B32=0,D32=""),"",ROUNDUP(B32/D32,0))</f>
        <v>0</v>
      </c>
      <c r="G32" s="4">
        <f>IFERROR(INDEX('01_Номенклатура'!$F:$F,MATCH(A32,'01_Номенклатура'!$A:$A,0)),"")</f>
        <v>0</v>
      </c>
      <c r="H32" s="10">
        <f>IF(OR(F32="",G32=""),"",F32*G32)</f>
        <v>0</v>
      </c>
      <c r="I32" s="3">
        <f>IF(D32="","заполнить размер упаковки","")</f>
        <v>0</v>
      </c>
    </row>
    <row r="33" spans="1:9">
      <c r="A33" s="3" t="s">
        <v>70</v>
      </c>
      <c r="B33" s="8">
        <f>SUMIF('08_Итог_сырья'!$A:$A,A33,'08_Итог_сырья'!$E:$E)</f>
        <v>0</v>
      </c>
      <c r="C33" s="3">
        <f>IFERROR(INDEX('01_Номенклатура'!$C:$C,MATCH(A33,'01_Номенклатура'!$A:$A,0)),"")</f>
        <v>0</v>
      </c>
      <c r="D33" s="4">
        <f>IFERROR(INDEX('01_Номенклатура'!$E:$E,MATCH(A33,'01_Номенклатура'!$A:$A,0)),"")</f>
        <v>0</v>
      </c>
      <c r="E33" s="3">
        <f>IFERROR(INDEX('01_Номенклатура'!$D:$D,MATCH(A33,'01_Номенклатура'!$A:$A,0)),"")</f>
        <v>0</v>
      </c>
      <c r="F33" s="8">
        <f>IF(OR(B33=0,D33=""),"",ROUNDUP(B33/D33,0))</f>
        <v>0</v>
      </c>
      <c r="G33" s="4">
        <f>IFERROR(INDEX('01_Номенклатура'!$F:$F,MATCH(A33,'01_Номенклатура'!$A:$A,0)),"")</f>
        <v>0</v>
      </c>
      <c r="H33" s="10">
        <f>IF(OR(F33="",G33=""),"",F33*G33)</f>
        <v>0</v>
      </c>
      <c r="I33" s="3">
        <f>IF(D33="","заполнить размер упаковки","")</f>
        <v>0</v>
      </c>
    </row>
    <row r="34" spans="1:9">
      <c r="A34" s="3" t="s">
        <v>71</v>
      </c>
      <c r="B34" s="8">
        <f>SUMIF('08_Итог_сырья'!$A:$A,A34,'08_Итог_сырья'!$E:$E)</f>
        <v>0</v>
      </c>
      <c r="C34" s="3">
        <f>IFERROR(INDEX('01_Номенклатура'!$C:$C,MATCH(A34,'01_Номенклатура'!$A:$A,0)),"")</f>
        <v>0</v>
      </c>
      <c r="D34" s="4">
        <f>IFERROR(INDEX('01_Номенклатура'!$E:$E,MATCH(A34,'01_Номенклатура'!$A:$A,0)),"")</f>
        <v>0</v>
      </c>
      <c r="E34" s="3">
        <f>IFERROR(INDEX('01_Номенклатура'!$D:$D,MATCH(A34,'01_Номенклатура'!$A:$A,0)),"")</f>
        <v>0</v>
      </c>
      <c r="F34" s="8">
        <f>IF(OR(B34=0,D34=""),"",ROUNDUP(B34/D34,0))</f>
        <v>0</v>
      </c>
      <c r="G34" s="4">
        <f>IFERROR(INDEX('01_Номенклатура'!$F:$F,MATCH(A34,'01_Номенклатура'!$A:$A,0)),"")</f>
        <v>0</v>
      </c>
      <c r="H34" s="10">
        <f>IF(OR(F34="",G34=""),"",F34*G34)</f>
        <v>0</v>
      </c>
      <c r="I34" s="3">
        <f>IF(D34="","заполнить размер упаковки","")</f>
        <v>0</v>
      </c>
    </row>
    <row r="35" spans="1:9">
      <c r="A35" s="3" t="s">
        <v>72</v>
      </c>
      <c r="B35" s="8">
        <f>SUMIF('08_Итог_сырья'!$A:$A,A35,'08_Итог_сырья'!$E:$E)</f>
        <v>0</v>
      </c>
      <c r="C35" s="3">
        <f>IFERROR(INDEX('01_Номенклатура'!$C:$C,MATCH(A35,'01_Номенклатура'!$A:$A,0)),"")</f>
        <v>0</v>
      </c>
      <c r="D35" s="4">
        <f>IFERROR(INDEX('01_Номенклатура'!$E:$E,MATCH(A35,'01_Номенклатура'!$A:$A,0)),"")</f>
        <v>0</v>
      </c>
      <c r="E35" s="3">
        <f>IFERROR(INDEX('01_Номенклатура'!$D:$D,MATCH(A35,'01_Номенклатура'!$A:$A,0)),"")</f>
        <v>0</v>
      </c>
      <c r="F35" s="8">
        <f>IF(OR(B35=0,D35=""),"",ROUNDUP(B35/D35,0))</f>
        <v>0</v>
      </c>
      <c r="G35" s="4">
        <f>IFERROR(INDEX('01_Номенклатура'!$F:$F,MATCH(A35,'01_Номенклатура'!$A:$A,0)),"")</f>
        <v>0</v>
      </c>
      <c r="H35" s="10">
        <f>IF(OR(F35="",G35=""),"",F35*G35)</f>
        <v>0</v>
      </c>
      <c r="I35" s="3">
        <f>IF(D35="","заполнить размер упаковки","")</f>
        <v>0</v>
      </c>
    </row>
    <row r="36" spans="1:9">
      <c r="A36" s="3" t="s">
        <v>73</v>
      </c>
      <c r="B36" s="8">
        <f>SUMIF('08_Итог_сырья'!$A:$A,A36,'08_Итог_сырья'!$E:$E)</f>
        <v>0</v>
      </c>
      <c r="C36" s="3">
        <f>IFERROR(INDEX('01_Номенклатура'!$C:$C,MATCH(A36,'01_Номенклатура'!$A:$A,0)),"")</f>
        <v>0</v>
      </c>
      <c r="D36" s="4">
        <f>IFERROR(INDEX('01_Номенклатура'!$E:$E,MATCH(A36,'01_Номенклатура'!$A:$A,0)),"")</f>
        <v>0</v>
      </c>
      <c r="E36" s="3">
        <f>IFERROR(INDEX('01_Номенклатура'!$D:$D,MATCH(A36,'01_Номенклатура'!$A:$A,0)),"")</f>
        <v>0</v>
      </c>
      <c r="F36" s="8">
        <f>IF(OR(B36=0,D36=""),"",ROUNDUP(B36/D36,0))</f>
        <v>0</v>
      </c>
      <c r="G36" s="4">
        <f>IFERROR(INDEX('01_Номенклатура'!$F:$F,MATCH(A36,'01_Номенклатура'!$A:$A,0)),"")</f>
        <v>0</v>
      </c>
      <c r="H36" s="10">
        <f>IF(OR(F36="",G36=""),"",F36*G36)</f>
        <v>0</v>
      </c>
      <c r="I36" s="3">
        <f>IF(D36="","заполнить размер упаковки","")</f>
        <v>0</v>
      </c>
    </row>
    <row r="37" spans="1:9">
      <c r="A37" s="3" t="s">
        <v>74</v>
      </c>
      <c r="B37" s="8">
        <f>SUMIF('08_Итог_сырья'!$A:$A,A37,'08_Итог_сырья'!$E:$E)</f>
        <v>0</v>
      </c>
      <c r="C37" s="3">
        <f>IFERROR(INDEX('01_Номенклатура'!$C:$C,MATCH(A37,'01_Номенклатура'!$A:$A,0)),"")</f>
        <v>0</v>
      </c>
      <c r="D37" s="4">
        <f>IFERROR(INDEX('01_Номенклатура'!$E:$E,MATCH(A37,'01_Номенклатура'!$A:$A,0)),"")</f>
        <v>0</v>
      </c>
      <c r="E37" s="3">
        <f>IFERROR(INDEX('01_Номенклатура'!$D:$D,MATCH(A37,'01_Номенклатура'!$A:$A,0)),"")</f>
        <v>0</v>
      </c>
      <c r="F37" s="8">
        <f>IF(OR(B37=0,D37=""),"",ROUNDUP(B37/D37,0))</f>
        <v>0</v>
      </c>
      <c r="G37" s="4">
        <f>IFERROR(INDEX('01_Номенклатура'!$F:$F,MATCH(A37,'01_Номенклатура'!$A:$A,0)),"")</f>
        <v>0</v>
      </c>
      <c r="H37" s="10">
        <f>IF(OR(F37="",G37=""),"",F37*G37)</f>
        <v>0</v>
      </c>
      <c r="I37" s="3">
        <f>IF(D37="","заполнить размер упаковки","")</f>
        <v>0</v>
      </c>
    </row>
    <row r="38" spans="1:9">
      <c r="A38" s="3" t="s">
        <v>75</v>
      </c>
      <c r="B38" s="8">
        <f>SUMIF('08_Итог_сырья'!$A:$A,A38,'08_Итог_сырья'!$E:$E)</f>
        <v>0</v>
      </c>
      <c r="C38" s="3">
        <f>IFERROR(INDEX('01_Номенклатура'!$C:$C,MATCH(A38,'01_Номенклатура'!$A:$A,0)),"")</f>
        <v>0</v>
      </c>
      <c r="D38" s="4">
        <f>IFERROR(INDEX('01_Номенклатура'!$E:$E,MATCH(A38,'01_Номенклатура'!$A:$A,0)),"")</f>
        <v>0</v>
      </c>
      <c r="E38" s="3">
        <f>IFERROR(INDEX('01_Номенклатура'!$D:$D,MATCH(A38,'01_Номенклатура'!$A:$A,0)),"")</f>
        <v>0</v>
      </c>
      <c r="F38" s="8">
        <f>IF(OR(B38=0,D38=""),"",ROUNDUP(B38/D38,0))</f>
        <v>0</v>
      </c>
      <c r="G38" s="4">
        <f>IFERROR(INDEX('01_Номенклатура'!$F:$F,MATCH(A38,'01_Номенклатура'!$A:$A,0)),"")</f>
        <v>0</v>
      </c>
      <c r="H38" s="10">
        <f>IF(OR(F38="",G38=""),"",F38*G38)</f>
        <v>0</v>
      </c>
      <c r="I38" s="3">
        <f>IF(D38="","заполнить размер упаковки","")</f>
        <v>0</v>
      </c>
    </row>
    <row r="39" spans="1:9">
      <c r="A39" s="3" t="s">
        <v>76</v>
      </c>
      <c r="B39" s="8">
        <f>SUMIF('08_Итог_сырья'!$A:$A,A39,'08_Итог_сырья'!$E:$E)</f>
        <v>0</v>
      </c>
      <c r="C39" s="3">
        <f>IFERROR(INDEX('01_Номенклатура'!$C:$C,MATCH(A39,'01_Номенклатура'!$A:$A,0)),"")</f>
        <v>0</v>
      </c>
      <c r="D39" s="4">
        <f>IFERROR(INDEX('01_Номенклатура'!$E:$E,MATCH(A39,'01_Номенклатура'!$A:$A,0)),"")</f>
        <v>0</v>
      </c>
      <c r="E39" s="3">
        <f>IFERROR(INDEX('01_Номенклатура'!$D:$D,MATCH(A39,'01_Номенклатура'!$A:$A,0)),"")</f>
        <v>0</v>
      </c>
      <c r="F39" s="8">
        <f>IF(OR(B39=0,D39=""),"",ROUNDUP(B39/D39,0))</f>
        <v>0</v>
      </c>
      <c r="G39" s="4">
        <f>IFERROR(INDEX('01_Номенклатура'!$F:$F,MATCH(A39,'01_Номенклатура'!$A:$A,0)),"")</f>
        <v>0</v>
      </c>
      <c r="H39" s="10">
        <f>IF(OR(F39="",G39=""),"",F39*G39)</f>
        <v>0</v>
      </c>
      <c r="I39" s="3">
        <f>IF(D39="","заполнить размер упаковки","")</f>
        <v>0</v>
      </c>
    </row>
    <row r="40" spans="1:9">
      <c r="A40" s="3" t="s">
        <v>77</v>
      </c>
      <c r="B40" s="8">
        <f>SUMIF('08_Итог_сырья'!$A:$A,A40,'08_Итог_сырья'!$E:$E)</f>
        <v>0</v>
      </c>
      <c r="C40" s="3">
        <f>IFERROR(INDEX('01_Номенклатура'!$C:$C,MATCH(A40,'01_Номенклатура'!$A:$A,0)),"")</f>
        <v>0</v>
      </c>
      <c r="D40" s="4">
        <f>IFERROR(INDEX('01_Номенклатура'!$E:$E,MATCH(A40,'01_Номенклатура'!$A:$A,0)),"")</f>
        <v>0</v>
      </c>
      <c r="E40" s="3">
        <f>IFERROR(INDEX('01_Номенклатура'!$D:$D,MATCH(A40,'01_Номенклатура'!$A:$A,0)),"")</f>
        <v>0</v>
      </c>
      <c r="F40" s="8">
        <f>IF(OR(B40=0,D40=""),"",ROUNDUP(B40/D40,0))</f>
        <v>0</v>
      </c>
      <c r="G40" s="4">
        <f>IFERROR(INDEX('01_Номенклатура'!$F:$F,MATCH(A40,'01_Номенклатура'!$A:$A,0)),"")</f>
        <v>0</v>
      </c>
      <c r="H40" s="10">
        <f>IF(OR(F40="",G40=""),"",F40*G40)</f>
        <v>0</v>
      </c>
      <c r="I40" s="3">
        <f>IF(D40="","заполнить размер упаковки","")</f>
        <v>0</v>
      </c>
    </row>
    <row r="41" spans="1:9">
      <c r="A41" s="3" t="s">
        <v>78</v>
      </c>
      <c r="B41" s="8">
        <f>SUMIF('08_Итог_сырья'!$A:$A,A41,'08_Итог_сырья'!$E:$E)</f>
        <v>0</v>
      </c>
      <c r="C41" s="3">
        <f>IFERROR(INDEX('01_Номенклатура'!$C:$C,MATCH(A41,'01_Номенклатура'!$A:$A,0)),"")</f>
        <v>0</v>
      </c>
      <c r="D41" s="4">
        <f>IFERROR(INDEX('01_Номенклатура'!$E:$E,MATCH(A41,'01_Номенклатура'!$A:$A,0)),"")</f>
        <v>0</v>
      </c>
      <c r="E41" s="3">
        <f>IFERROR(INDEX('01_Номенклатура'!$D:$D,MATCH(A41,'01_Номенклатура'!$A:$A,0)),"")</f>
        <v>0</v>
      </c>
      <c r="F41" s="8">
        <f>IF(OR(B41=0,D41=""),"",ROUNDUP(B41/D41,0))</f>
        <v>0</v>
      </c>
      <c r="G41" s="4">
        <f>IFERROR(INDEX('01_Номенклатура'!$F:$F,MATCH(A41,'01_Номенклатура'!$A:$A,0)),"")</f>
        <v>0</v>
      </c>
      <c r="H41" s="10">
        <f>IF(OR(F41="",G41=""),"",F41*G41)</f>
        <v>0</v>
      </c>
      <c r="I41" s="3">
        <f>IF(D41="","заполнить размер упаковки","")</f>
        <v>0</v>
      </c>
    </row>
    <row r="42" spans="1:9">
      <c r="A42" s="3" t="s">
        <v>79</v>
      </c>
      <c r="B42" s="8">
        <f>SUMIF('08_Итог_сырья'!$A:$A,A42,'08_Итог_сырья'!$E:$E)</f>
        <v>0</v>
      </c>
      <c r="C42" s="3">
        <f>IFERROR(INDEX('01_Номенклатура'!$C:$C,MATCH(A42,'01_Номенклатура'!$A:$A,0)),"")</f>
        <v>0</v>
      </c>
      <c r="D42" s="4">
        <f>IFERROR(INDEX('01_Номенклатура'!$E:$E,MATCH(A42,'01_Номенклатура'!$A:$A,0)),"")</f>
        <v>0</v>
      </c>
      <c r="E42" s="3">
        <f>IFERROR(INDEX('01_Номенклатура'!$D:$D,MATCH(A42,'01_Номенклатура'!$A:$A,0)),"")</f>
        <v>0</v>
      </c>
      <c r="F42" s="8">
        <f>IF(OR(B42=0,D42=""),"",ROUNDUP(B42/D42,0))</f>
        <v>0</v>
      </c>
      <c r="G42" s="4">
        <f>IFERROR(INDEX('01_Номенклатура'!$F:$F,MATCH(A42,'01_Номенклатура'!$A:$A,0)),"")</f>
        <v>0</v>
      </c>
      <c r="H42" s="10">
        <f>IF(OR(F42="",G42=""),"",F42*G42)</f>
        <v>0</v>
      </c>
      <c r="I42" s="3">
        <f>IF(D42="","заполнить размер упаковки","")</f>
        <v>0</v>
      </c>
    </row>
    <row r="43" spans="1:9">
      <c r="A43" s="3" t="s">
        <v>80</v>
      </c>
      <c r="B43" s="8">
        <f>SUMIF('08_Итог_сырья'!$A:$A,A43,'08_Итог_сырья'!$E:$E)</f>
        <v>0</v>
      </c>
      <c r="C43" s="3">
        <f>IFERROR(INDEX('01_Номенклатура'!$C:$C,MATCH(A43,'01_Номенклатура'!$A:$A,0)),"")</f>
        <v>0</v>
      </c>
      <c r="D43" s="4">
        <f>IFERROR(INDEX('01_Номенклатура'!$E:$E,MATCH(A43,'01_Номенклатура'!$A:$A,0)),"")</f>
        <v>0</v>
      </c>
      <c r="E43" s="3">
        <f>IFERROR(INDEX('01_Номенклатура'!$D:$D,MATCH(A43,'01_Номенклатура'!$A:$A,0)),"")</f>
        <v>0</v>
      </c>
      <c r="F43" s="8">
        <f>IF(OR(B43=0,D43=""),"",ROUNDUP(B43/D43,0))</f>
        <v>0</v>
      </c>
      <c r="G43" s="4">
        <f>IFERROR(INDEX('01_Номенклатура'!$F:$F,MATCH(A43,'01_Номенклатура'!$A:$A,0)),"")</f>
        <v>0</v>
      </c>
      <c r="H43" s="10">
        <f>IF(OR(F43="",G43=""),"",F43*G43)</f>
        <v>0</v>
      </c>
      <c r="I43" s="3">
        <f>IF(D43="","заполнить размер упаковки","")</f>
        <v>0</v>
      </c>
    </row>
    <row r="44" spans="1:9">
      <c r="A44" s="3" t="s">
        <v>81</v>
      </c>
      <c r="B44" s="8">
        <f>SUMIF('08_Итог_сырья'!$A:$A,A44,'08_Итог_сырья'!$E:$E)</f>
        <v>0</v>
      </c>
      <c r="C44" s="3">
        <f>IFERROR(INDEX('01_Номенклатура'!$C:$C,MATCH(A44,'01_Номенклатура'!$A:$A,0)),"")</f>
        <v>0</v>
      </c>
      <c r="D44" s="4">
        <f>IFERROR(INDEX('01_Номенклатура'!$E:$E,MATCH(A44,'01_Номенклатура'!$A:$A,0)),"")</f>
        <v>0</v>
      </c>
      <c r="E44" s="3">
        <f>IFERROR(INDEX('01_Номенклатура'!$D:$D,MATCH(A44,'01_Номенклатура'!$A:$A,0)),"")</f>
        <v>0</v>
      </c>
      <c r="F44" s="8">
        <f>IF(OR(B44=0,D44=""),"",ROUNDUP(B44/D44,0))</f>
        <v>0</v>
      </c>
      <c r="G44" s="4">
        <f>IFERROR(INDEX('01_Номенклатура'!$F:$F,MATCH(A44,'01_Номенклатура'!$A:$A,0)),"")</f>
        <v>0</v>
      </c>
      <c r="H44" s="10">
        <f>IF(OR(F44="",G44=""),"",F44*G44)</f>
        <v>0</v>
      </c>
      <c r="I44" s="3">
        <f>IF(D44="","заполнить размер упаковки","")</f>
        <v>0</v>
      </c>
    </row>
    <row r="45" spans="1:9">
      <c r="A45" s="3" t="s">
        <v>82</v>
      </c>
      <c r="B45" s="8">
        <f>SUMIF('08_Итог_сырья'!$A:$A,A45,'08_Итог_сырья'!$E:$E)</f>
        <v>0</v>
      </c>
      <c r="C45" s="3">
        <f>IFERROR(INDEX('01_Номенклатура'!$C:$C,MATCH(A45,'01_Номенклатура'!$A:$A,0)),"")</f>
        <v>0</v>
      </c>
      <c r="D45" s="4">
        <f>IFERROR(INDEX('01_Номенклатура'!$E:$E,MATCH(A45,'01_Номенклатура'!$A:$A,0)),"")</f>
        <v>0</v>
      </c>
      <c r="E45" s="3">
        <f>IFERROR(INDEX('01_Номенклатура'!$D:$D,MATCH(A45,'01_Номенклатура'!$A:$A,0)),"")</f>
        <v>0</v>
      </c>
      <c r="F45" s="8">
        <f>IF(OR(B45=0,D45=""),"",ROUNDUP(B45/D45,0))</f>
        <v>0</v>
      </c>
      <c r="G45" s="4">
        <f>IFERROR(INDEX('01_Номенклатура'!$F:$F,MATCH(A45,'01_Номенклатура'!$A:$A,0)),"")</f>
        <v>0</v>
      </c>
      <c r="H45" s="10">
        <f>IF(OR(F45="",G45=""),"",F45*G45)</f>
        <v>0</v>
      </c>
      <c r="I45" s="3">
        <f>IF(D45="","заполнить размер упаковки","")</f>
        <v>0</v>
      </c>
    </row>
    <row r="46" spans="1:9">
      <c r="A46" s="3" t="s">
        <v>83</v>
      </c>
      <c r="B46" s="8">
        <f>SUMIF('08_Итог_сырья'!$A:$A,A46,'08_Итог_сырья'!$E:$E)</f>
        <v>0</v>
      </c>
      <c r="C46" s="3">
        <f>IFERROR(INDEX('01_Номенклатура'!$C:$C,MATCH(A46,'01_Номенклатура'!$A:$A,0)),"")</f>
        <v>0</v>
      </c>
      <c r="D46" s="4">
        <f>IFERROR(INDEX('01_Номенклатура'!$E:$E,MATCH(A46,'01_Номенклатура'!$A:$A,0)),"")</f>
        <v>0</v>
      </c>
      <c r="E46" s="3">
        <f>IFERROR(INDEX('01_Номенклатура'!$D:$D,MATCH(A46,'01_Номенклатура'!$A:$A,0)),"")</f>
        <v>0</v>
      </c>
      <c r="F46" s="8">
        <f>IF(OR(B46=0,D46=""),"",ROUNDUP(B46/D46,0))</f>
        <v>0</v>
      </c>
      <c r="G46" s="4">
        <f>IFERROR(INDEX('01_Номенклатура'!$F:$F,MATCH(A46,'01_Номенклатура'!$A:$A,0)),"")</f>
        <v>0</v>
      </c>
      <c r="H46" s="10">
        <f>IF(OR(F46="",G46=""),"",F46*G46)</f>
        <v>0</v>
      </c>
      <c r="I46" s="3">
        <f>IF(D46="","заполнить размер упаковки","")</f>
        <v>0</v>
      </c>
    </row>
    <row r="47" spans="1:9">
      <c r="A47" s="3" t="s">
        <v>84</v>
      </c>
      <c r="B47" s="8">
        <f>SUMIF('08_Итог_сырья'!$A:$A,A47,'08_Итог_сырья'!$E:$E)</f>
        <v>0</v>
      </c>
      <c r="C47" s="3">
        <f>IFERROR(INDEX('01_Номенклатура'!$C:$C,MATCH(A47,'01_Номенклатура'!$A:$A,0)),"")</f>
        <v>0</v>
      </c>
      <c r="D47" s="4">
        <f>IFERROR(INDEX('01_Номенклатура'!$E:$E,MATCH(A47,'01_Номенклатура'!$A:$A,0)),"")</f>
        <v>0</v>
      </c>
      <c r="E47" s="3">
        <f>IFERROR(INDEX('01_Номенклатура'!$D:$D,MATCH(A47,'01_Номенклатура'!$A:$A,0)),"")</f>
        <v>0</v>
      </c>
      <c r="F47" s="8">
        <f>IF(OR(B47=0,D47=""),"",ROUNDUP(B47/D47,0))</f>
        <v>0</v>
      </c>
      <c r="G47" s="4">
        <f>IFERROR(INDEX('01_Номенклатура'!$F:$F,MATCH(A47,'01_Номенклатура'!$A:$A,0)),"")</f>
        <v>0</v>
      </c>
      <c r="H47" s="10">
        <f>IF(OR(F47="",G47=""),"",F47*G47)</f>
        <v>0</v>
      </c>
      <c r="I47" s="3">
        <f>IF(D47="","заполнить размер упаковки","")</f>
        <v>0</v>
      </c>
    </row>
    <row r="48" spans="1:9">
      <c r="A48" s="3" t="s">
        <v>85</v>
      </c>
      <c r="B48" s="8">
        <f>SUMIF('08_Итог_сырья'!$A:$A,A48,'08_Итог_сырья'!$E:$E)</f>
        <v>0</v>
      </c>
      <c r="C48" s="3">
        <f>IFERROR(INDEX('01_Номенклатура'!$C:$C,MATCH(A48,'01_Номенклатура'!$A:$A,0)),"")</f>
        <v>0</v>
      </c>
      <c r="D48" s="4">
        <f>IFERROR(INDEX('01_Номенклатура'!$E:$E,MATCH(A48,'01_Номенклатура'!$A:$A,0)),"")</f>
        <v>0</v>
      </c>
      <c r="E48" s="3">
        <f>IFERROR(INDEX('01_Номенклатура'!$D:$D,MATCH(A48,'01_Номенклатура'!$A:$A,0)),"")</f>
        <v>0</v>
      </c>
      <c r="F48" s="8">
        <f>IF(OR(B48=0,D48=""),"",ROUNDUP(B48/D48,0))</f>
        <v>0</v>
      </c>
      <c r="G48" s="4">
        <f>IFERROR(INDEX('01_Номенклатура'!$F:$F,MATCH(A48,'01_Номенклатура'!$A:$A,0)),"")</f>
        <v>0</v>
      </c>
      <c r="H48" s="10">
        <f>IF(OR(F48="",G48=""),"",F48*G48)</f>
        <v>0</v>
      </c>
      <c r="I48" s="3">
        <f>IF(D48="","заполнить размер упаковки","")</f>
        <v>0</v>
      </c>
    </row>
    <row r="49" spans="1:9">
      <c r="A49" s="3" t="s">
        <v>87</v>
      </c>
      <c r="B49" s="8">
        <f>SUMIF('08_Итог_сырья'!$A:$A,A49,'08_Итог_сырья'!$E:$E)</f>
        <v>0</v>
      </c>
      <c r="C49" s="3">
        <f>IFERROR(INDEX('01_Номенклатура'!$C:$C,MATCH(A49,'01_Номенклатура'!$A:$A,0)),"")</f>
        <v>0</v>
      </c>
      <c r="D49" s="4">
        <f>IFERROR(INDEX('01_Номенклатура'!$E:$E,MATCH(A49,'01_Номенклатура'!$A:$A,0)),"")</f>
        <v>0</v>
      </c>
      <c r="E49" s="3">
        <f>IFERROR(INDEX('01_Номенклатура'!$D:$D,MATCH(A49,'01_Номенклатура'!$A:$A,0)),"")</f>
        <v>0</v>
      </c>
      <c r="F49" s="8">
        <f>IF(OR(B49=0,D49=""),"",ROUNDUP(B49/D49,0))</f>
        <v>0</v>
      </c>
      <c r="G49" s="4">
        <f>IFERROR(INDEX('01_Номенклатура'!$F:$F,MATCH(A49,'01_Номенклатура'!$A:$A,0)),"")</f>
        <v>0</v>
      </c>
      <c r="H49" s="10">
        <f>IF(OR(F49="",G49=""),"",F49*G49)</f>
        <v>0</v>
      </c>
      <c r="I49" s="3">
        <f>IF(D49="","заполнить размер упаковки","")</f>
        <v>0</v>
      </c>
    </row>
    <row r="50" spans="1:9">
      <c r="A50" s="3" t="s">
        <v>88</v>
      </c>
      <c r="B50" s="8">
        <f>SUMIF('08_Итог_сырья'!$A:$A,A50,'08_Итог_сырья'!$E:$E)</f>
        <v>0</v>
      </c>
      <c r="C50" s="3">
        <f>IFERROR(INDEX('01_Номенклатура'!$C:$C,MATCH(A50,'01_Номенклатура'!$A:$A,0)),"")</f>
        <v>0</v>
      </c>
      <c r="D50" s="4">
        <f>IFERROR(INDEX('01_Номенклатура'!$E:$E,MATCH(A50,'01_Номенклатура'!$A:$A,0)),"")</f>
        <v>0</v>
      </c>
      <c r="E50" s="3">
        <f>IFERROR(INDEX('01_Номенклатура'!$D:$D,MATCH(A50,'01_Номенклатура'!$A:$A,0)),"")</f>
        <v>0</v>
      </c>
      <c r="F50" s="8">
        <f>IF(OR(B50=0,D50=""),"",ROUNDUP(B50/D50,0))</f>
        <v>0</v>
      </c>
      <c r="G50" s="4">
        <f>IFERROR(INDEX('01_Номенклатура'!$F:$F,MATCH(A50,'01_Номенклатура'!$A:$A,0)),"")</f>
        <v>0</v>
      </c>
      <c r="H50" s="10">
        <f>IF(OR(F50="",G50=""),"",F50*G50)</f>
        <v>0</v>
      </c>
      <c r="I50" s="3">
        <f>IF(D50="","заполнить размер упаковки","")</f>
        <v>0</v>
      </c>
    </row>
    <row r="51" spans="1:9">
      <c r="A51" s="3" t="s">
        <v>89</v>
      </c>
      <c r="B51" s="8">
        <f>SUMIF('08_Итог_сырья'!$A:$A,A51,'08_Итог_сырья'!$E:$E)</f>
        <v>0</v>
      </c>
      <c r="C51" s="3">
        <f>IFERROR(INDEX('01_Номенклатура'!$C:$C,MATCH(A51,'01_Номенклатура'!$A:$A,0)),"")</f>
        <v>0</v>
      </c>
      <c r="D51" s="4">
        <f>IFERROR(INDEX('01_Номенклатура'!$E:$E,MATCH(A51,'01_Номенклатура'!$A:$A,0)),"")</f>
        <v>0</v>
      </c>
      <c r="E51" s="3">
        <f>IFERROR(INDEX('01_Номенклатура'!$D:$D,MATCH(A51,'01_Номенклатура'!$A:$A,0)),"")</f>
        <v>0</v>
      </c>
      <c r="F51" s="8">
        <f>IF(OR(B51=0,D51=""),"",ROUNDUP(B51/D51,0))</f>
        <v>0</v>
      </c>
      <c r="G51" s="4">
        <f>IFERROR(INDEX('01_Номенклатура'!$F:$F,MATCH(A51,'01_Номенклатура'!$A:$A,0)),"")</f>
        <v>0</v>
      </c>
      <c r="H51" s="10">
        <f>IF(OR(F51="",G51=""),"",F51*G51)</f>
        <v>0</v>
      </c>
      <c r="I51" s="3">
        <f>IF(D51="","заполнить размер упаковки","")</f>
        <v>0</v>
      </c>
    </row>
    <row r="52" spans="1:9">
      <c r="A52" s="3" t="s">
        <v>90</v>
      </c>
      <c r="B52" s="8">
        <f>SUMIF('08_Итог_сырья'!$A:$A,A52,'08_Итог_сырья'!$E:$E)</f>
        <v>0</v>
      </c>
      <c r="C52" s="3">
        <f>IFERROR(INDEX('01_Номенклатура'!$C:$C,MATCH(A52,'01_Номенклатура'!$A:$A,0)),"")</f>
        <v>0</v>
      </c>
      <c r="D52" s="4">
        <f>IFERROR(INDEX('01_Номенклатура'!$E:$E,MATCH(A52,'01_Номенклатура'!$A:$A,0)),"")</f>
        <v>0</v>
      </c>
      <c r="E52" s="3">
        <f>IFERROR(INDEX('01_Номенклатура'!$D:$D,MATCH(A52,'01_Номенклатура'!$A:$A,0)),"")</f>
        <v>0</v>
      </c>
      <c r="F52" s="8">
        <f>IF(OR(B52=0,D52=""),"",ROUNDUP(B52/D52,0))</f>
        <v>0</v>
      </c>
      <c r="G52" s="4">
        <f>IFERROR(INDEX('01_Номенклатура'!$F:$F,MATCH(A52,'01_Номенклатура'!$A:$A,0)),"")</f>
        <v>0</v>
      </c>
      <c r="H52" s="10">
        <f>IF(OR(F52="",G52=""),"",F52*G52)</f>
        <v>0</v>
      </c>
      <c r="I52" s="3">
        <f>IF(D52="","заполнить размер упаковки","")</f>
        <v>0</v>
      </c>
    </row>
    <row r="53" spans="1:9">
      <c r="A53" s="3" t="s">
        <v>91</v>
      </c>
      <c r="B53" s="8">
        <f>SUMIF('08_Итог_сырья'!$A:$A,A53,'08_Итог_сырья'!$E:$E)</f>
        <v>0</v>
      </c>
      <c r="C53" s="3">
        <f>IFERROR(INDEX('01_Номенклатура'!$C:$C,MATCH(A53,'01_Номенклатура'!$A:$A,0)),"")</f>
        <v>0</v>
      </c>
      <c r="D53" s="4">
        <f>IFERROR(INDEX('01_Номенклатура'!$E:$E,MATCH(A53,'01_Номенклатура'!$A:$A,0)),"")</f>
        <v>0</v>
      </c>
      <c r="E53" s="3">
        <f>IFERROR(INDEX('01_Номенклатура'!$D:$D,MATCH(A53,'01_Номенклатура'!$A:$A,0)),"")</f>
        <v>0</v>
      </c>
      <c r="F53" s="8">
        <f>IF(OR(B53=0,D53=""),"",ROUNDUP(B53/D53,0))</f>
        <v>0</v>
      </c>
      <c r="G53" s="4">
        <f>IFERROR(INDEX('01_Номенклатура'!$F:$F,MATCH(A53,'01_Номенклатура'!$A:$A,0)),"")</f>
        <v>0</v>
      </c>
      <c r="H53" s="10">
        <f>IF(OR(F53="",G53=""),"",F53*G53)</f>
        <v>0</v>
      </c>
      <c r="I53" s="3">
        <f>IF(D53="","заполнить размер упаковки","")</f>
        <v>0</v>
      </c>
    </row>
    <row r="54" spans="1:9">
      <c r="A54" s="3" t="s">
        <v>92</v>
      </c>
      <c r="B54" s="8">
        <f>SUMIF('08_Итог_сырья'!$A:$A,A54,'08_Итог_сырья'!$E:$E)</f>
        <v>0</v>
      </c>
      <c r="C54" s="3">
        <f>IFERROR(INDEX('01_Номенклатура'!$C:$C,MATCH(A54,'01_Номенклатура'!$A:$A,0)),"")</f>
        <v>0</v>
      </c>
      <c r="D54" s="4">
        <f>IFERROR(INDEX('01_Номенклатура'!$E:$E,MATCH(A54,'01_Номенклатура'!$A:$A,0)),"")</f>
        <v>0</v>
      </c>
      <c r="E54" s="3">
        <f>IFERROR(INDEX('01_Номенклатура'!$D:$D,MATCH(A54,'01_Номенклатура'!$A:$A,0)),"")</f>
        <v>0</v>
      </c>
      <c r="F54" s="8">
        <f>IF(OR(B54=0,D54=""),"",ROUNDUP(B54/D54,0))</f>
        <v>0</v>
      </c>
      <c r="G54" s="4">
        <f>IFERROR(INDEX('01_Номенклатура'!$F:$F,MATCH(A54,'01_Номенклатура'!$A:$A,0)),"")</f>
        <v>0</v>
      </c>
      <c r="H54" s="10">
        <f>IF(OR(F54="",G54=""),"",F54*G54)</f>
        <v>0</v>
      </c>
      <c r="I54" s="3">
        <f>IF(D54="","заполнить размер упаковки","")</f>
        <v>0</v>
      </c>
    </row>
    <row r="55" spans="1:9">
      <c r="A55" s="3" t="s">
        <v>93</v>
      </c>
      <c r="B55" s="8">
        <f>SUMIF('08_Итог_сырья'!$A:$A,A55,'08_Итог_сырья'!$E:$E)</f>
        <v>0</v>
      </c>
      <c r="C55" s="3">
        <f>IFERROR(INDEX('01_Номенклатура'!$C:$C,MATCH(A55,'01_Номенклатура'!$A:$A,0)),"")</f>
        <v>0</v>
      </c>
      <c r="D55" s="4">
        <f>IFERROR(INDEX('01_Номенклатура'!$E:$E,MATCH(A55,'01_Номенклатура'!$A:$A,0)),"")</f>
        <v>0</v>
      </c>
      <c r="E55" s="3">
        <f>IFERROR(INDEX('01_Номенклатура'!$D:$D,MATCH(A55,'01_Номенклатура'!$A:$A,0)),"")</f>
        <v>0</v>
      </c>
      <c r="F55" s="8">
        <f>IF(OR(B55=0,D55=""),"",ROUNDUP(B55/D55,0))</f>
        <v>0</v>
      </c>
      <c r="G55" s="4">
        <f>IFERROR(INDEX('01_Номенклатура'!$F:$F,MATCH(A55,'01_Номенклатура'!$A:$A,0)),"")</f>
        <v>0</v>
      </c>
      <c r="H55" s="10">
        <f>IF(OR(F55="",G55=""),"",F55*G55)</f>
        <v>0</v>
      </c>
      <c r="I55" s="3">
        <f>IF(D55="","заполнить размер упаковки","")</f>
        <v>0</v>
      </c>
    </row>
    <row r="56" spans="1:9">
      <c r="A56" s="3" t="s">
        <v>94</v>
      </c>
      <c r="B56" s="8">
        <f>SUMIF('08_Итог_сырья'!$A:$A,A56,'08_Итог_сырья'!$E:$E)</f>
        <v>0</v>
      </c>
      <c r="C56" s="3">
        <f>IFERROR(INDEX('01_Номенклатура'!$C:$C,MATCH(A56,'01_Номенклатура'!$A:$A,0)),"")</f>
        <v>0</v>
      </c>
      <c r="D56" s="4">
        <f>IFERROR(INDEX('01_Номенклатура'!$E:$E,MATCH(A56,'01_Номенклатура'!$A:$A,0)),"")</f>
        <v>0</v>
      </c>
      <c r="E56" s="3">
        <f>IFERROR(INDEX('01_Номенклатура'!$D:$D,MATCH(A56,'01_Номенклатура'!$A:$A,0)),"")</f>
        <v>0</v>
      </c>
      <c r="F56" s="8">
        <f>IF(OR(B56=0,D56=""),"",ROUNDUP(B56/D56,0))</f>
        <v>0</v>
      </c>
      <c r="G56" s="4">
        <f>IFERROR(INDEX('01_Номенклатура'!$F:$F,MATCH(A56,'01_Номенклатура'!$A:$A,0)),"")</f>
        <v>0</v>
      </c>
      <c r="H56" s="10">
        <f>IF(OR(F56="",G56=""),"",F56*G56)</f>
        <v>0</v>
      </c>
      <c r="I56" s="3">
        <f>IF(D56="","заполнить размер упаковки","")</f>
        <v>0</v>
      </c>
    </row>
    <row r="57" spans="1:9">
      <c r="A57" s="3" t="s">
        <v>95</v>
      </c>
      <c r="B57" s="8">
        <f>SUMIF('08_Итог_сырья'!$A:$A,A57,'08_Итог_сырья'!$E:$E)</f>
        <v>0</v>
      </c>
      <c r="C57" s="3">
        <f>IFERROR(INDEX('01_Номенклатура'!$C:$C,MATCH(A57,'01_Номенклатура'!$A:$A,0)),"")</f>
        <v>0</v>
      </c>
      <c r="D57" s="4">
        <f>IFERROR(INDEX('01_Номенклатура'!$E:$E,MATCH(A57,'01_Номенклатура'!$A:$A,0)),"")</f>
        <v>0</v>
      </c>
      <c r="E57" s="3">
        <f>IFERROR(INDEX('01_Номенклатура'!$D:$D,MATCH(A57,'01_Номенклатура'!$A:$A,0)),"")</f>
        <v>0</v>
      </c>
      <c r="F57" s="8">
        <f>IF(OR(B57=0,D57=""),"",ROUNDUP(B57/D57,0))</f>
        <v>0</v>
      </c>
      <c r="G57" s="4">
        <f>IFERROR(INDEX('01_Номенклатура'!$F:$F,MATCH(A57,'01_Номенклатура'!$A:$A,0)),"")</f>
        <v>0</v>
      </c>
      <c r="H57" s="10">
        <f>IF(OR(F57="",G57=""),"",F57*G57)</f>
        <v>0</v>
      </c>
      <c r="I57" s="3">
        <f>IF(D57="","заполнить размер упаковки","")</f>
        <v>0</v>
      </c>
    </row>
    <row r="58" spans="1:9">
      <c r="A58" s="3" t="s">
        <v>96</v>
      </c>
      <c r="B58" s="8">
        <f>SUMIF('08_Итог_сырья'!$A:$A,A58,'08_Итог_сырья'!$E:$E)</f>
        <v>0</v>
      </c>
      <c r="C58" s="3">
        <f>IFERROR(INDEX('01_Номенклатура'!$C:$C,MATCH(A58,'01_Номенклатура'!$A:$A,0)),"")</f>
        <v>0</v>
      </c>
      <c r="D58" s="4">
        <f>IFERROR(INDEX('01_Номенклатура'!$E:$E,MATCH(A58,'01_Номенклатура'!$A:$A,0)),"")</f>
        <v>0</v>
      </c>
      <c r="E58" s="3">
        <f>IFERROR(INDEX('01_Номенклатура'!$D:$D,MATCH(A58,'01_Номенклатура'!$A:$A,0)),"")</f>
        <v>0</v>
      </c>
      <c r="F58" s="8">
        <f>IF(OR(B58=0,D58=""),"",ROUNDUP(B58/D58,0))</f>
        <v>0</v>
      </c>
      <c r="G58" s="4">
        <f>IFERROR(INDEX('01_Номенклатура'!$F:$F,MATCH(A58,'01_Номенклатура'!$A:$A,0)),"")</f>
        <v>0</v>
      </c>
      <c r="H58" s="10">
        <f>IF(OR(F58="",G58=""),"",F58*G58)</f>
        <v>0</v>
      </c>
      <c r="I58" s="3">
        <f>IF(D58="","заполнить размер упаковки","")</f>
        <v>0</v>
      </c>
    </row>
    <row r="59" spans="1:9">
      <c r="A59" s="3" t="s">
        <v>97</v>
      </c>
      <c r="B59" s="8">
        <f>SUMIF('08_Итог_сырья'!$A:$A,A59,'08_Итог_сырья'!$E:$E)</f>
        <v>0</v>
      </c>
      <c r="C59" s="3">
        <f>IFERROR(INDEX('01_Номенклатура'!$C:$C,MATCH(A59,'01_Номенклатура'!$A:$A,0)),"")</f>
        <v>0</v>
      </c>
      <c r="D59" s="4">
        <f>IFERROR(INDEX('01_Номенклатура'!$E:$E,MATCH(A59,'01_Номенклатура'!$A:$A,0)),"")</f>
        <v>0</v>
      </c>
      <c r="E59" s="3">
        <f>IFERROR(INDEX('01_Номенклатура'!$D:$D,MATCH(A59,'01_Номенклатура'!$A:$A,0)),"")</f>
        <v>0</v>
      </c>
      <c r="F59" s="8">
        <f>IF(OR(B59=0,D59=""),"",ROUNDUP(B59/D59,0))</f>
        <v>0</v>
      </c>
      <c r="G59" s="4">
        <f>IFERROR(INDEX('01_Номенклатура'!$F:$F,MATCH(A59,'01_Номенклатура'!$A:$A,0)),"")</f>
        <v>0</v>
      </c>
      <c r="H59" s="10">
        <f>IF(OR(F59="",G59=""),"",F59*G59)</f>
        <v>0</v>
      </c>
      <c r="I59" s="3">
        <f>IF(D59="","заполнить размер упаковки","")</f>
        <v>0</v>
      </c>
    </row>
    <row r="60" spans="1:9">
      <c r="A60" s="3" t="s">
        <v>98</v>
      </c>
      <c r="B60" s="8">
        <f>SUMIF('08_Итог_сырья'!$A:$A,A60,'08_Итог_сырья'!$E:$E)</f>
        <v>0</v>
      </c>
      <c r="C60" s="3">
        <f>IFERROR(INDEX('01_Номенклатура'!$C:$C,MATCH(A60,'01_Номенклатура'!$A:$A,0)),"")</f>
        <v>0</v>
      </c>
      <c r="D60" s="4">
        <f>IFERROR(INDEX('01_Номенклатура'!$E:$E,MATCH(A60,'01_Номенклатура'!$A:$A,0)),"")</f>
        <v>0</v>
      </c>
      <c r="E60" s="3">
        <f>IFERROR(INDEX('01_Номенклатура'!$D:$D,MATCH(A60,'01_Номенклатура'!$A:$A,0)),"")</f>
        <v>0</v>
      </c>
      <c r="F60" s="8">
        <f>IF(OR(B60=0,D60=""),"",ROUNDUP(B60/D60,0))</f>
        <v>0</v>
      </c>
      <c r="G60" s="4">
        <f>IFERROR(INDEX('01_Номенклатура'!$F:$F,MATCH(A60,'01_Номенклатура'!$A:$A,0)),"")</f>
        <v>0</v>
      </c>
      <c r="H60" s="10">
        <f>IF(OR(F60="",G60=""),"",F60*G60)</f>
        <v>0</v>
      </c>
      <c r="I60" s="3">
        <f>IF(D60="","заполнить размер упаковки","")</f>
        <v>0</v>
      </c>
    </row>
    <row r="61" spans="1:9">
      <c r="A61" s="3" t="s">
        <v>99</v>
      </c>
      <c r="B61" s="8">
        <f>SUMIF('08_Итог_сырья'!$A:$A,A61,'08_Итог_сырья'!$E:$E)</f>
        <v>0</v>
      </c>
      <c r="C61" s="3">
        <f>IFERROR(INDEX('01_Номенклатура'!$C:$C,MATCH(A61,'01_Номенклатура'!$A:$A,0)),"")</f>
        <v>0</v>
      </c>
      <c r="D61" s="4">
        <f>IFERROR(INDEX('01_Номенклатура'!$E:$E,MATCH(A61,'01_Номенклатура'!$A:$A,0)),"")</f>
        <v>0</v>
      </c>
      <c r="E61" s="3">
        <f>IFERROR(INDEX('01_Номенклатура'!$D:$D,MATCH(A61,'01_Номенклатура'!$A:$A,0)),"")</f>
        <v>0</v>
      </c>
      <c r="F61" s="8">
        <f>IF(OR(B61=0,D61=""),"",ROUNDUP(B61/D61,0))</f>
        <v>0</v>
      </c>
      <c r="G61" s="4">
        <f>IFERROR(INDEX('01_Номенклатура'!$F:$F,MATCH(A61,'01_Номенклатура'!$A:$A,0)),"")</f>
        <v>0</v>
      </c>
      <c r="H61" s="10">
        <f>IF(OR(F61="",G61=""),"",F61*G61)</f>
        <v>0</v>
      </c>
      <c r="I61" s="3">
        <f>IF(D61="","заполнить размер упаковки","")</f>
        <v>0</v>
      </c>
    </row>
    <row r="62" spans="1:9">
      <c r="A62" s="3" t="s">
        <v>100</v>
      </c>
      <c r="B62" s="8">
        <f>SUMIF('08_Итог_сырья'!$A:$A,A62,'08_Итог_сырья'!$E:$E)</f>
        <v>0</v>
      </c>
      <c r="C62" s="3">
        <f>IFERROR(INDEX('01_Номенклатура'!$C:$C,MATCH(A62,'01_Номенклатура'!$A:$A,0)),"")</f>
        <v>0</v>
      </c>
      <c r="D62" s="4">
        <f>IFERROR(INDEX('01_Номенклатура'!$E:$E,MATCH(A62,'01_Номенклатура'!$A:$A,0)),"")</f>
        <v>0</v>
      </c>
      <c r="E62" s="3">
        <f>IFERROR(INDEX('01_Номенклатура'!$D:$D,MATCH(A62,'01_Номенклатура'!$A:$A,0)),"")</f>
        <v>0</v>
      </c>
      <c r="F62" s="8">
        <f>IF(OR(B62=0,D62=""),"",ROUNDUP(B62/D62,0))</f>
        <v>0</v>
      </c>
      <c r="G62" s="4">
        <f>IFERROR(INDEX('01_Номенклатура'!$F:$F,MATCH(A62,'01_Номенклатура'!$A:$A,0)),"")</f>
        <v>0</v>
      </c>
      <c r="H62" s="10">
        <f>IF(OR(F62="",G62=""),"",F62*G62)</f>
        <v>0</v>
      </c>
      <c r="I62" s="3">
        <f>IF(D62="","заполнить размер упаковки","")</f>
        <v>0</v>
      </c>
    </row>
    <row r="63" spans="1:9">
      <c r="A63" s="3" t="s">
        <v>101</v>
      </c>
      <c r="B63" s="8">
        <f>SUMIF('08_Итог_сырья'!$A:$A,A63,'08_Итог_сырья'!$E:$E)</f>
        <v>0</v>
      </c>
      <c r="C63" s="3">
        <f>IFERROR(INDEX('01_Номенклатура'!$C:$C,MATCH(A63,'01_Номенклатура'!$A:$A,0)),"")</f>
        <v>0</v>
      </c>
      <c r="D63" s="4">
        <f>IFERROR(INDEX('01_Номенклатура'!$E:$E,MATCH(A63,'01_Номенклатура'!$A:$A,0)),"")</f>
        <v>0</v>
      </c>
      <c r="E63" s="3">
        <f>IFERROR(INDEX('01_Номенклатура'!$D:$D,MATCH(A63,'01_Номенклатура'!$A:$A,0)),"")</f>
        <v>0</v>
      </c>
      <c r="F63" s="8">
        <f>IF(OR(B63=0,D63=""),"",ROUNDUP(B63/D63,0))</f>
        <v>0</v>
      </c>
      <c r="G63" s="4">
        <f>IFERROR(INDEX('01_Номенклатура'!$F:$F,MATCH(A63,'01_Номенклатура'!$A:$A,0)),"")</f>
        <v>0</v>
      </c>
      <c r="H63" s="10">
        <f>IF(OR(F63="",G63=""),"",F63*G63)</f>
        <v>0</v>
      </c>
      <c r="I63" s="3">
        <f>IF(D63="","заполнить размер упаковки","")</f>
        <v>0</v>
      </c>
    </row>
    <row r="64" spans="1:9">
      <c r="A64" s="3" t="s">
        <v>102</v>
      </c>
      <c r="B64" s="8">
        <f>SUMIF('08_Итог_сырья'!$A:$A,A64,'08_Итог_сырья'!$E:$E)</f>
        <v>0</v>
      </c>
      <c r="C64" s="3">
        <f>IFERROR(INDEX('01_Номенклатура'!$C:$C,MATCH(A64,'01_Номенклатура'!$A:$A,0)),"")</f>
        <v>0</v>
      </c>
      <c r="D64" s="4">
        <f>IFERROR(INDEX('01_Номенклатура'!$E:$E,MATCH(A64,'01_Номенклатура'!$A:$A,0)),"")</f>
        <v>0</v>
      </c>
      <c r="E64" s="3">
        <f>IFERROR(INDEX('01_Номенклатура'!$D:$D,MATCH(A64,'01_Номенклатура'!$A:$A,0)),"")</f>
        <v>0</v>
      </c>
      <c r="F64" s="8">
        <f>IF(OR(B64=0,D64=""),"",ROUNDUP(B64/D64,0))</f>
        <v>0</v>
      </c>
      <c r="G64" s="4">
        <f>IFERROR(INDEX('01_Номенклатура'!$F:$F,MATCH(A64,'01_Номенклатура'!$A:$A,0)),"")</f>
        <v>0</v>
      </c>
      <c r="H64" s="10">
        <f>IF(OR(F64="",G64=""),"",F64*G64)</f>
        <v>0</v>
      </c>
      <c r="I64" s="3">
        <f>IF(D64="","заполнить размер упаковки","")</f>
        <v>0</v>
      </c>
    </row>
    <row r="67" spans="7:8">
      <c r="G67" s="2" t="s">
        <v>302</v>
      </c>
      <c r="H67" s="10">
        <f>SUM(H2:H64)</f>
        <v>0</v>
      </c>
    </row>
  </sheetData>
  <conditionalFormatting sqref="D2:D64">
    <cfRule type="containsBlanks" dxfId="0" priority="1">
      <formula>LEN(TRIM(D2))=0</formula>
    </cfRule>
  </conditionalFormatting>
  <conditionalFormatting sqref="G2:G64">
    <cfRule type="containsBlanks" dxfId="0" priority="2">
      <formula>LEN(TRIM(G2))=0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8.7109375" customWidth="1"/>
    <col min="3" max="3" width="18.7109375" customWidth="1"/>
    <col min="4" max="4" width="14.7109375" customWidth="1"/>
    <col min="5" max="5" width="60.7109375" customWidth="1"/>
  </cols>
  <sheetData>
    <row r="1" spans="1:5">
      <c r="A1" t="s">
        <v>303</v>
      </c>
      <c r="B1" t="s">
        <v>304</v>
      </c>
      <c r="C1" t="s">
        <v>305</v>
      </c>
      <c r="D1" t="s">
        <v>141</v>
      </c>
      <c r="E1" t="s">
        <v>306</v>
      </c>
    </row>
    <row r="2" spans="1:5">
      <c r="A2" s="3" t="s">
        <v>109</v>
      </c>
      <c r="B2" s="3" t="s">
        <v>26</v>
      </c>
      <c r="C2" s="3" t="s">
        <v>147</v>
      </c>
      <c r="D2" s="3" t="s">
        <v>23</v>
      </c>
      <c r="E2" s="3" t="s">
        <v>147</v>
      </c>
    </row>
    <row r="3" spans="1:5">
      <c r="A3" s="3" t="s">
        <v>113</v>
      </c>
      <c r="B3" s="3" t="s">
        <v>31</v>
      </c>
      <c r="C3" s="7">
        <v>10</v>
      </c>
      <c r="D3" s="3" t="s">
        <v>32</v>
      </c>
      <c r="E3" s="3" t="s">
        <v>307</v>
      </c>
    </row>
    <row r="4" spans="1:5">
      <c r="A4" s="3" t="s">
        <v>113</v>
      </c>
      <c r="B4" s="3" t="s">
        <v>26</v>
      </c>
      <c r="C4" s="3" t="s">
        <v>147</v>
      </c>
      <c r="D4" s="3" t="s">
        <v>23</v>
      </c>
      <c r="E4" s="3" t="s">
        <v>147</v>
      </c>
    </row>
    <row r="5" spans="1:5">
      <c r="A5" s="3" t="s">
        <v>114</v>
      </c>
      <c r="B5" s="3" t="s">
        <v>26</v>
      </c>
      <c r="C5" s="3" t="s">
        <v>147</v>
      </c>
      <c r="D5" s="3" t="s">
        <v>23</v>
      </c>
      <c r="E5" s="3" t="s">
        <v>147</v>
      </c>
    </row>
    <row r="6" spans="1:5">
      <c r="A6" s="3" t="s">
        <v>115</v>
      </c>
      <c r="B6" s="3" t="s">
        <v>39</v>
      </c>
      <c r="C6" s="7">
        <v>2</v>
      </c>
      <c r="D6" s="3" t="s">
        <v>32</v>
      </c>
      <c r="E6" s="3" t="s">
        <v>307</v>
      </c>
    </row>
    <row r="7" spans="1:5">
      <c r="A7" s="3" t="s">
        <v>116</v>
      </c>
      <c r="B7" s="3" t="s">
        <v>44</v>
      </c>
      <c r="C7" s="7">
        <v>2</v>
      </c>
      <c r="D7" s="3" t="s">
        <v>32</v>
      </c>
      <c r="E7" s="3" t="s">
        <v>307</v>
      </c>
    </row>
    <row r="8" spans="1:5">
      <c r="A8" s="3" t="s">
        <v>116</v>
      </c>
      <c r="B8" s="3" t="s">
        <v>40</v>
      </c>
      <c r="C8" s="3" t="s">
        <v>147</v>
      </c>
      <c r="D8" s="3" t="s">
        <v>23</v>
      </c>
      <c r="E8" s="3" t="s">
        <v>147</v>
      </c>
    </row>
    <row r="9" spans="1:5">
      <c r="A9" s="3" t="s">
        <v>117</v>
      </c>
      <c r="B9" s="3" t="s">
        <v>46</v>
      </c>
      <c r="C9" s="7">
        <v>3</v>
      </c>
      <c r="D9" s="3" t="s">
        <v>32</v>
      </c>
      <c r="E9" s="3" t="s">
        <v>307</v>
      </c>
    </row>
    <row r="10" spans="1:5">
      <c r="A10" s="3" t="s">
        <v>119</v>
      </c>
      <c r="B10" s="3" t="s">
        <v>49</v>
      </c>
      <c r="C10" s="7">
        <v>1</v>
      </c>
      <c r="D10" s="3"/>
      <c r="E10" s="3" t="s">
        <v>307</v>
      </c>
    </row>
    <row r="11" spans="1:5">
      <c r="A11" s="3" t="s">
        <v>120</v>
      </c>
      <c r="B11" s="3" t="s">
        <v>50</v>
      </c>
      <c r="C11" s="7">
        <v>60</v>
      </c>
      <c r="D11" s="3"/>
      <c r="E11" s="3" t="s">
        <v>307</v>
      </c>
    </row>
    <row r="12" spans="1:5">
      <c r="A12" s="3" t="s">
        <v>121</v>
      </c>
      <c r="B12" s="3" t="s">
        <v>53</v>
      </c>
      <c r="C12" s="7">
        <v>20</v>
      </c>
      <c r="D12" s="3"/>
      <c r="E12" s="3" t="s">
        <v>307</v>
      </c>
    </row>
    <row r="13" spans="1:5">
      <c r="A13" s="3" t="s">
        <v>122</v>
      </c>
      <c r="B13" s="3" t="s">
        <v>53</v>
      </c>
      <c r="C13" s="7">
        <v>30</v>
      </c>
      <c r="D13" s="3"/>
      <c r="E13" s="3" t="s">
        <v>307</v>
      </c>
    </row>
    <row r="14" spans="1:5">
      <c r="A14" s="3" t="s">
        <v>123</v>
      </c>
      <c r="B14" s="3" t="s">
        <v>53</v>
      </c>
      <c r="C14" s="7">
        <v>30</v>
      </c>
      <c r="D14" s="3"/>
      <c r="E14" s="3" t="s">
        <v>307</v>
      </c>
    </row>
    <row r="15" spans="1:5">
      <c r="A15" s="3" t="s">
        <v>124</v>
      </c>
      <c r="B15" s="3" t="s">
        <v>55</v>
      </c>
      <c r="C15" s="7">
        <v>2</v>
      </c>
      <c r="D15" s="3"/>
      <c r="E15" s="3" t="s">
        <v>307</v>
      </c>
    </row>
    <row r="16" spans="1:5">
      <c r="A16" s="3" t="s">
        <v>129</v>
      </c>
      <c r="B16" s="3" t="s">
        <v>31</v>
      </c>
      <c r="C16" s="7">
        <v>2</v>
      </c>
      <c r="D16" s="3" t="s">
        <v>32</v>
      </c>
      <c r="E16" s="3" t="s">
        <v>307</v>
      </c>
    </row>
    <row r="17" spans="1:5">
      <c r="A17" s="3" t="s">
        <v>133</v>
      </c>
      <c r="B17" s="3" t="s">
        <v>31</v>
      </c>
      <c r="C17" s="7">
        <v>10</v>
      </c>
      <c r="D17" s="3" t="s">
        <v>32</v>
      </c>
      <c r="E17" s="3" t="s">
        <v>307</v>
      </c>
    </row>
    <row r="18" spans="1:5">
      <c r="A18" s="3" t="s">
        <v>38</v>
      </c>
      <c r="B18" s="3" t="s">
        <v>68</v>
      </c>
      <c r="C18" s="3" t="s">
        <v>246</v>
      </c>
      <c r="D18" s="3" t="s">
        <v>64</v>
      </c>
      <c r="E18" s="3" t="s">
        <v>246</v>
      </c>
    </row>
    <row r="19" spans="1:5">
      <c r="A19" s="3" t="s">
        <v>38</v>
      </c>
      <c r="B19" s="3" t="s">
        <v>66</v>
      </c>
      <c r="C19" s="3" t="s">
        <v>246</v>
      </c>
      <c r="D19" s="3" t="s">
        <v>23</v>
      </c>
      <c r="E19" s="3" t="s">
        <v>246</v>
      </c>
    </row>
    <row r="20" spans="1:5">
      <c r="A20" s="3" t="s">
        <v>41</v>
      </c>
      <c r="B20" s="3" t="s">
        <v>80</v>
      </c>
      <c r="C20" s="7">
        <v>25</v>
      </c>
      <c r="D20" s="3"/>
      <c r="E20" s="3" t="s">
        <v>307</v>
      </c>
    </row>
    <row r="21" spans="1:5">
      <c r="A21" s="3" t="s">
        <v>130</v>
      </c>
      <c r="B21" s="3" t="s">
        <v>308</v>
      </c>
      <c r="C21" s="3"/>
      <c r="D21" s="3" t="s">
        <v>23</v>
      </c>
      <c r="E21" s="3" t="s">
        <v>132</v>
      </c>
    </row>
    <row r="22" spans="1:5">
      <c r="A22" s="3" t="s">
        <v>133</v>
      </c>
      <c r="B22" s="3" t="s">
        <v>308</v>
      </c>
      <c r="C22" s="3"/>
      <c r="D22" s="3" t="s">
        <v>23</v>
      </c>
      <c r="E22" s="3" t="s">
        <v>132</v>
      </c>
    </row>
    <row r="23" spans="1:5">
      <c r="A23" s="3" t="s">
        <v>134</v>
      </c>
      <c r="B23" s="3" t="s">
        <v>308</v>
      </c>
      <c r="C23" s="3"/>
      <c r="D23" s="3" t="s">
        <v>23</v>
      </c>
      <c r="E23" s="3" t="s">
        <v>132</v>
      </c>
    </row>
    <row r="24" spans="1:5">
      <c r="A24" s="3" t="s">
        <v>135</v>
      </c>
      <c r="B24" s="3" t="s">
        <v>308</v>
      </c>
      <c r="C24" s="3"/>
      <c r="D24" s="3" t="s">
        <v>23</v>
      </c>
      <c r="E24" s="3" t="s">
        <v>132</v>
      </c>
    </row>
    <row r="25" spans="1:5">
      <c r="A25" s="3" t="s">
        <v>103</v>
      </c>
      <c r="B25" s="3" t="s">
        <v>308</v>
      </c>
      <c r="C25" s="3"/>
      <c r="D25" s="3" t="s">
        <v>23</v>
      </c>
      <c r="E25" s="3" t="s">
        <v>136</v>
      </c>
    </row>
    <row r="26" spans="1:5">
      <c r="A26" s="3" t="s">
        <v>36</v>
      </c>
      <c r="B26" s="3" t="s">
        <v>308</v>
      </c>
      <c r="C26" s="3"/>
      <c r="D26" s="3" t="s">
        <v>23</v>
      </c>
      <c r="E26" s="3" t="s">
        <v>136</v>
      </c>
    </row>
    <row r="27" spans="1:5">
      <c r="A27" s="3" t="s">
        <v>38</v>
      </c>
      <c r="B27" s="3" t="s">
        <v>308</v>
      </c>
      <c r="C27" s="3"/>
      <c r="D27" s="3" t="s">
        <v>23</v>
      </c>
      <c r="E27" s="3" t="s">
        <v>136</v>
      </c>
    </row>
    <row r="28" spans="1:5">
      <c r="A28" s="3" t="s">
        <v>41</v>
      </c>
      <c r="B28" s="3" t="s">
        <v>308</v>
      </c>
      <c r="C28" s="3"/>
      <c r="D28" s="3" t="s">
        <v>23</v>
      </c>
      <c r="E28" s="3" t="s">
        <v>136</v>
      </c>
    </row>
    <row r="29" spans="1:5">
      <c r="A29" s="3" t="s">
        <v>49</v>
      </c>
      <c r="B29" s="3" t="s">
        <v>308</v>
      </c>
      <c r="C29" s="3"/>
      <c r="D29" s="3" t="s">
        <v>23</v>
      </c>
      <c r="E29" s="3" t="s">
        <v>136</v>
      </c>
    </row>
    <row r="30" spans="1:5">
      <c r="A30" s="3" t="s">
        <v>50</v>
      </c>
      <c r="B30" s="3" t="s">
        <v>308</v>
      </c>
      <c r="C30" s="3"/>
      <c r="D30" s="3" t="s">
        <v>23</v>
      </c>
      <c r="E30" s="3" t="s">
        <v>136</v>
      </c>
    </row>
    <row r="31" spans="1:5">
      <c r="A31" s="3" t="s">
        <v>57</v>
      </c>
      <c r="B31" s="3" t="s">
        <v>308</v>
      </c>
      <c r="C31" s="3"/>
      <c r="D31" s="3" t="s">
        <v>23</v>
      </c>
      <c r="E31" s="3" t="s">
        <v>136</v>
      </c>
    </row>
    <row r="32" spans="1:5">
      <c r="A32" s="3" t="s">
        <v>53</v>
      </c>
      <c r="B32" s="3" t="s">
        <v>308</v>
      </c>
      <c r="C32" s="3"/>
      <c r="D32" s="3" t="s">
        <v>23</v>
      </c>
      <c r="E32" s="3" t="s">
        <v>136</v>
      </c>
    </row>
    <row r="33" spans="1:5">
      <c r="A33" s="3" t="s">
        <v>47</v>
      </c>
      <c r="B33" s="3" t="s">
        <v>308</v>
      </c>
      <c r="C33" s="3"/>
      <c r="D33" s="3" t="s">
        <v>23</v>
      </c>
      <c r="E33" s="3" t="s">
        <v>136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4.7109375" customWidth="1"/>
    <col min="2" max="6" width="90.7109375" customWidth="1"/>
  </cols>
  <sheetData>
    <row r="1" spans="1:6">
      <c r="A1" s="1" t="s">
        <v>309</v>
      </c>
      <c r="B1" s="1"/>
      <c r="C1" s="1"/>
      <c r="D1" s="1"/>
      <c r="E1" s="1"/>
      <c r="F1" s="1"/>
    </row>
    <row r="3" spans="1:6">
      <c r="A3" s="2" t="s">
        <v>310</v>
      </c>
      <c r="B3" s="3" t="s">
        <v>311</v>
      </c>
    </row>
    <row r="4" spans="1:6">
      <c r="A4" s="2" t="s">
        <v>312</v>
      </c>
      <c r="B4" s="3" t="s">
        <v>313</v>
      </c>
    </row>
    <row r="5" spans="1:6">
      <c r="A5" s="2" t="s">
        <v>314</v>
      </c>
      <c r="B5" s="3" t="s">
        <v>315</v>
      </c>
    </row>
    <row r="6" spans="1:6">
      <c r="A6" s="2" t="s">
        <v>316</v>
      </c>
      <c r="B6" s="3" t="s">
        <v>317</v>
      </c>
    </row>
    <row r="7" spans="1:6">
      <c r="A7" s="2" t="s">
        <v>316</v>
      </c>
      <c r="B7" s="3" t="s">
        <v>318</v>
      </c>
    </row>
    <row r="8" spans="1:6">
      <c r="A8" s="2" t="s">
        <v>319</v>
      </c>
      <c r="B8" s="3" t="s">
        <v>320</v>
      </c>
    </row>
    <row r="9" spans="1:6">
      <c r="A9" s="2" t="s">
        <v>321</v>
      </c>
      <c r="B9" s="3" t="s">
        <v>322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00_Титул</vt:lpstr>
      <vt:lpstr>01_Номенклатура</vt:lpstr>
      <vt:lpstr>02_Выходы_рецептов</vt:lpstr>
      <vt:lpstr>03_Рецепты</vt:lpstr>
      <vt:lpstr>04_Выбор_меню</vt:lpstr>
      <vt:lpstr>05_Расход_меню</vt:lpstr>
      <vt:lpstr>06_Нужно_заготовок</vt:lpstr>
      <vt:lpstr>07_Расход_заготовок</vt:lpstr>
      <vt:lpstr>08_Итог_сырья</vt:lpstr>
      <vt:lpstr>09_Список_покупок</vt:lpstr>
      <vt:lpstr>10_Требует_уточнения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Барный калькулятор, заполненный рецептами</dc:title>
  <dc:creator/>
  <dc:description>Создано на основе Алко выпуск.xlsx</dc:description>
  <cp:lastModifiedBy/>
  <dcterms:created xsi:type="dcterms:W3CDTF">2026-07-02T16:49:41Z</dcterms:created>
  <dcterms:modified xsi:type="dcterms:W3CDTF">2026-07-02T16:49:41Z</dcterms:modified>
</cp:coreProperties>
</file>